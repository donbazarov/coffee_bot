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НТЯБРЬ 26" sheetId="1" r:id="rId5"/>
  </sheets>
  <definedNames/>
  <calcPr/>
</workbook>
</file>

<file path=xl/sharedStrings.xml><?xml version="1.0" encoding="utf-8"?>
<sst xmlns="http://schemas.openxmlformats.org/spreadsheetml/2006/main" count="401" uniqueCount="30">
  <si>
    <t xml:space="preserve">СЕНТЯБРЬ </t>
  </si>
  <si>
    <t>Вт</t>
  </si>
  <si>
    <t>Ср</t>
  </si>
  <si>
    <t>Чт</t>
  </si>
  <si>
    <t>Пт</t>
  </si>
  <si>
    <t>Сб</t>
  </si>
  <si>
    <t>Вс</t>
  </si>
  <si>
    <t>Пн</t>
  </si>
  <si>
    <t>Вова</t>
  </si>
  <si>
    <t>ВЫХ</t>
  </si>
  <si>
    <t>Максим</t>
  </si>
  <si>
    <t>Диляра апа</t>
  </si>
  <si>
    <t>Эмиль</t>
  </si>
  <si>
    <t>Настя</t>
  </si>
  <si>
    <t>Богдана</t>
  </si>
  <si>
    <t>Полина</t>
  </si>
  <si>
    <t>Дон</t>
  </si>
  <si>
    <t>Катя</t>
  </si>
  <si>
    <t>Софа</t>
  </si>
  <si>
    <t>Павел</t>
  </si>
  <si>
    <t>Айрат</t>
  </si>
  <si>
    <t>Аида</t>
  </si>
  <si>
    <t>Ева</t>
  </si>
  <si>
    <t>Стас</t>
  </si>
  <si>
    <t>Камиль</t>
  </si>
  <si>
    <t>Марк</t>
  </si>
  <si>
    <t>Тома</t>
  </si>
  <si>
    <t xml:space="preserve">Алия </t>
  </si>
  <si>
    <t>Марат стажер</t>
  </si>
  <si>
    <t>Владислав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</si>
</sst>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"/>
    <numFmt numFmtId="165" formatCode="[h]&quot;:&quot;mm"/>
    <numFmt numFmtId="166" formatCode="hh:mm"/>
  </numFmts>
  <fonts count="8">
    <font>
      <sz val="10.0"/>
      <color rgb="FF000000"/>
      <name val="Arial"/>
      <scheme val="minor"/>
    </font>
    <font>
      <b/>
      <sz val="15.0"/>
      <color theme="1"/>
      <name val="Verdana"/>
    </font>
    <font>
      <b/>
      <color theme="1"/>
      <name val="Verdana"/>
    </font>
    <font/>
    <font>
      <sz val="12.0"/>
      <color theme="1"/>
      <name val="Arial"/>
      <scheme val="minor"/>
    </font>
    <font>
      <sz val="9.0"/>
      <color theme="1"/>
      <name val="Verdana"/>
    </font>
    <font>
      <b/>
      <color rgb="FFFFFFFF"/>
      <name val="Verdana"/>
    </font>
    <font>
      <color theme="1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2" fontId="2" numFmtId="0" xfId="0" applyAlignment="1" applyBorder="1" applyFill="1" applyFont="1">
      <alignment readingOrder="0"/>
    </xf>
    <xf borderId="3" fillId="0" fontId="3" numFmtId="0" xfId="0" applyBorder="1" applyFont="1"/>
    <xf borderId="2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0" fontId="3" numFmtId="0" xfId="0" applyBorder="1" applyFont="1"/>
    <xf borderId="2" fillId="2" fontId="2" numFmtId="0" xfId="0" applyAlignment="1" applyBorder="1" applyFill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0" fillId="2" fontId="2" numFmtId="0" xfId="0" applyAlignment="1" applyFill="1" applyFont="1">
      <alignment readingOrder="0" vertical="bottom"/>
    </xf>
    <xf borderId="5" fillId="0" fontId="3" numFmtId="0" xfId="0" applyBorder="1" applyFont="1"/>
    <xf borderId="6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0" fillId="2" fontId="4" numFmtId="0" xfId="0" applyAlignment="1" applyFill="1" applyFont="1">
      <alignment horizontal="center" readingOrder="0"/>
    </xf>
    <xf borderId="7" fillId="2" fontId="5" numFmtId="0" xfId="0" applyAlignment="1" applyBorder="1" applyFill="1" applyFont="1">
      <alignment readingOrder="0" vertical="bottom"/>
    </xf>
    <xf borderId="8" fillId="0" fontId="3" numFmtId="0" xfId="0" applyBorder="1" applyFont="1"/>
    <xf borderId="9" fillId="0" fontId="2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8" fillId="0" fontId="2" numFmtId="0" xfId="0" applyAlignment="1" applyBorder="1" applyFont="1">
      <alignment readingOrder="0" vertical="bottom"/>
    </xf>
    <xf borderId="9" fillId="0" fontId="3" numFmtId="0" xfId="0" applyBorder="1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/>
    </xf>
    <xf borderId="10" fillId="0" fontId="2" numFmtId="0" xfId="0" applyAlignment="1" applyBorder="1" applyFont="1">
      <alignment horizontal="right" readingOrder="0"/>
    </xf>
    <xf borderId="2" fillId="2" fontId="7" numFmtId="20" xfId="0" applyAlignment="1" applyBorder="1" applyFill="1" applyFont="1" applyNumberFormat="1">
      <alignment horizontal="center" vertical="bottom"/>
    </xf>
    <xf borderId="2" fillId="3" fontId="7" numFmtId="20" xfId="0" applyAlignment="1" applyBorder="1" applyFill="1" applyFont="1" applyNumberFormat="1">
      <alignment horizontal="right" readingOrder="0"/>
    </xf>
    <xf borderId="3" fillId="3" fontId="7" numFmtId="20" xfId="0" applyAlignment="1" applyBorder="1" applyFill="1" applyFont="1" applyNumberFormat="1">
      <alignment horizontal="left" readingOrder="0"/>
    </xf>
    <xf borderId="2" fillId="3" fontId="7" numFmtId="20" xfId="0" applyAlignment="1" applyBorder="1" applyFill="1" applyFont="1" applyNumberFormat="1">
      <alignment horizontal="right" vertical="bottom"/>
    </xf>
    <xf borderId="3" fillId="3" fontId="7" numFmtId="20" xfId="0" applyAlignment="1" applyBorder="1" applyFill="1" applyFont="1" applyNumberFormat="1">
      <alignment vertical="bottom"/>
    </xf>
    <xf borderId="11" fillId="4" fontId="7" numFmtId="20" xfId="0" applyAlignment="1" applyBorder="1" applyFill="1" applyFont="1" applyNumberFormat="1">
      <alignment horizontal="right" readingOrder="0"/>
    </xf>
    <xf borderId="12" fillId="4" fontId="7" numFmtId="20" xfId="0" applyAlignment="1" applyBorder="1" applyFill="1" applyFont="1" applyNumberFormat="1">
      <alignment horizontal="left" readingOrder="0"/>
    </xf>
    <xf borderId="0" fillId="0" fontId="7" numFmtId="20" xfId="0" applyAlignment="1" applyFont="1" applyNumberFormat="1">
      <alignment horizontal="right" readingOrder="0"/>
    </xf>
    <xf borderId="0" fillId="5" fontId="2" numFmtId="0" xfId="0" applyAlignment="1" applyFill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11" fillId="2" fontId="7" numFmtId="20" xfId="0" applyAlignment="1" applyBorder="1" applyFill="1" applyFont="1" applyNumberFormat="1">
      <alignment horizontal="center" vertical="bottom"/>
    </xf>
    <xf borderId="12" fillId="0" fontId="3" numFmtId="0" xfId="0" applyBorder="1" applyFont="1"/>
    <xf borderId="13" fillId="2" fontId="7" numFmtId="20" xfId="0" applyAlignment="1" applyBorder="1" applyFill="1" applyFont="1" applyNumberFormat="1">
      <alignment horizontal="center" vertical="bottom"/>
    </xf>
    <xf borderId="14" fillId="0" fontId="3" numFmtId="0" xfId="0" applyBorder="1" applyFont="1"/>
    <xf borderId="2" fillId="3" fontId="7" numFmtId="20" xfId="0" applyAlignment="1" applyBorder="1" applyFill="1" applyFont="1" applyNumberFormat="1">
      <alignment horizontal="right" readingOrder="0" vertical="bottom"/>
    </xf>
    <xf borderId="3" fillId="3" fontId="7" numFmtId="20" xfId="0" applyAlignment="1" applyBorder="1" applyFill="1" applyFont="1" applyNumberFormat="1">
      <alignment readingOrder="0" vertical="bottom"/>
    </xf>
    <xf borderId="2" fillId="4" fontId="7" numFmtId="20" xfId="0" applyAlignment="1" applyBorder="1" applyFill="1" applyFont="1" applyNumberFormat="1">
      <alignment horizontal="right" readingOrder="0"/>
    </xf>
    <xf borderId="3" fillId="4" fontId="7" numFmtId="20" xfId="0" applyAlignment="1" applyBorder="1" applyFill="1" applyFont="1" applyNumberFormat="1">
      <alignment horizontal="left" readingOrder="0"/>
    </xf>
    <xf borderId="3" fillId="4" fontId="7" numFmtId="164" xfId="0" applyAlignment="1" applyBorder="1" applyFill="1" applyFont="1" applyNumberFormat="1">
      <alignment horizontal="left" readingOrder="0"/>
    </xf>
    <xf borderId="2" fillId="6" fontId="7" numFmtId="20" xfId="0" applyAlignment="1" applyBorder="1" applyFill="1" applyFont="1" applyNumberFormat="1">
      <alignment horizontal="center" vertical="bottom"/>
    </xf>
    <xf borderId="11" fillId="4" fontId="7" numFmtId="20" xfId="0" applyAlignment="1" applyBorder="1" applyFill="1" applyFont="1" applyNumberFormat="1">
      <alignment horizontal="right" vertical="bottom"/>
    </xf>
    <xf borderId="12" fillId="4" fontId="7" numFmtId="20" xfId="0" applyAlignment="1" applyBorder="1" applyFill="1" applyFont="1" applyNumberFormat="1">
      <alignment vertical="bottom"/>
    </xf>
    <xf borderId="8" fillId="0" fontId="2" numFmtId="0" xfId="0" applyAlignment="1" applyBorder="1" applyFont="1">
      <alignment horizontal="right" readingOrder="0"/>
    </xf>
    <xf borderId="0" fillId="0" fontId="7" numFmtId="0" xfId="0" applyAlignment="1" applyFont="1">
      <alignment horizontal="center" readingOrder="0"/>
    </xf>
    <xf borderId="15" fillId="2" fontId="7" numFmtId="20" xfId="0" applyAlignment="1" applyBorder="1" applyFill="1" applyFont="1" applyNumberFormat="1">
      <alignment horizontal="center" vertical="bottom"/>
    </xf>
    <xf borderId="16" fillId="0" fontId="3" numFmtId="0" xfId="0" applyBorder="1" applyFont="1"/>
    <xf borderId="0" fillId="2" fontId="7" numFmtId="20" xfId="0" applyAlignment="1" applyFill="1" applyFont="1" applyNumberFormat="1">
      <alignment horizontal="center" readingOrder="0"/>
    </xf>
    <xf borderId="0" fillId="0" fontId="7" numFmtId="0" xfId="0" applyAlignment="1" applyFont="1">
      <alignment horizontal="right" readingOrder="0"/>
    </xf>
    <xf borderId="11" fillId="0" fontId="7" numFmtId="20" xfId="0" applyAlignment="1" applyBorder="1" applyFont="1" applyNumberFormat="1">
      <alignment horizontal="right" readingOrder="0"/>
    </xf>
    <xf borderId="12" fillId="0" fontId="7" numFmtId="20" xfId="0" applyAlignment="1" applyBorder="1" applyFont="1" applyNumberFormat="1">
      <alignment horizontal="left" readingOrder="0"/>
    </xf>
    <xf borderId="2" fillId="2" fontId="7" numFmtId="20" xfId="0" applyAlignment="1" applyBorder="1" applyFill="1" applyFont="1" applyNumberFormat="1">
      <alignment horizontal="right" readingOrder="0"/>
    </xf>
    <xf borderId="3" fillId="2" fontId="7" numFmtId="20" xfId="0" applyAlignment="1" applyBorder="1" applyFill="1" applyFont="1" applyNumberFormat="1">
      <alignment horizontal="left" readingOrder="0"/>
    </xf>
    <xf borderId="10" fillId="2" fontId="7" numFmtId="20" xfId="0" applyAlignment="1" applyBorder="1" applyFill="1" applyFont="1" applyNumberFormat="1">
      <alignment horizontal="center" vertical="bottom"/>
    </xf>
    <xf borderId="2" fillId="2" fontId="7" numFmtId="20" xfId="0" applyAlignment="1" applyBorder="1" applyFill="1" applyFont="1" applyNumberFormat="1">
      <alignment horizontal="right" vertical="bottom"/>
    </xf>
    <xf borderId="3" fillId="2" fontId="7" numFmtId="20" xfId="0" applyAlignment="1" applyBorder="1" applyFill="1" applyFont="1" applyNumberFormat="1">
      <alignment vertical="bottom"/>
    </xf>
    <xf borderId="15" fillId="2" fontId="7" numFmtId="20" xfId="0" applyAlignment="1" applyBorder="1" applyFill="1" applyFont="1" applyNumberFormat="1">
      <alignment horizontal="right" vertical="bottom"/>
    </xf>
    <xf borderId="16" fillId="2" fontId="7" numFmtId="20" xfId="0" applyAlignment="1" applyBorder="1" applyFill="1" applyFont="1" applyNumberFormat="1">
      <alignment vertical="bottom"/>
    </xf>
    <xf borderId="11" fillId="2" fontId="7" numFmtId="20" xfId="0" applyAlignment="1" applyBorder="1" applyFill="1" applyFont="1" applyNumberFormat="1">
      <alignment horizontal="right" readingOrder="0"/>
    </xf>
    <xf borderId="12" fillId="2" fontId="7" numFmtId="20" xfId="0" applyAlignment="1" applyBorder="1" applyFill="1" applyFont="1" applyNumberFormat="1">
      <alignment horizontal="left" readingOrder="0"/>
    </xf>
    <xf borderId="3" fillId="2" fontId="7" numFmtId="164" xfId="0" applyAlignment="1" applyBorder="1" applyFill="1" applyFont="1" applyNumberFormat="1">
      <alignment vertical="bottom"/>
    </xf>
    <xf borderId="2" fillId="6" fontId="7" numFmtId="0" xfId="0" applyAlignment="1" applyBorder="1" applyFill="1" applyFont="1">
      <alignment horizontal="center" readingOrder="0"/>
    </xf>
    <xf borderId="10" fillId="6" fontId="7" numFmtId="165" xfId="0" applyAlignment="1" applyBorder="1" applyFill="1" applyFont="1" applyNumberFormat="1">
      <alignment horizontal="center" readingOrder="0"/>
    </xf>
    <xf borderId="2" fillId="6" fontId="7" numFmtId="20" xfId="0" applyAlignment="1" applyBorder="1" applyFill="1" applyFont="1" applyNumberFormat="1">
      <alignment horizontal="center" readingOrder="0"/>
    </xf>
    <xf borderId="2" fillId="6" fontId="7" numFmtId="164" xfId="0" applyAlignment="1" applyBorder="1" applyFill="1" applyFont="1" applyNumberFormat="1">
      <alignment horizontal="center" readingOrder="0"/>
    </xf>
    <xf borderId="10" fillId="7" fontId="2" numFmtId="0" xfId="0" applyAlignment="1" applyBorder="1" applyFill="1" applyFont="1">
      <alignment horizontal="right" readingOrder="0"/>
    </xf>
    <xf borderId="2" fillId="6" fontId="7" numFmtId="166" xfId="0" applyAlignment="1" applyBorder="1" applyFill="1" applyFont="1" applyNumberFormat="1">
      <alignment horizontal="center" readingOrder="0"/>
    </xf>
    <xf borderId="8" fillId="7" fontId="2" numFmtId="0" xfId="0" applyAlignment="1" applyBorder="1" applyFill="1" applyFont="1">
      <alignment horizontal="right" readingOrder="0"/>
    </xf>
    <xf borderId="0" fillId="2" fontId="2" numFmtId="0" xfId="0" applyAlignment="1" applyFill="1" applyFont="1">
      <alignment horizontal="right" readingOrder="0"/>
    </xf>
    <xf borderId="10" fillId="2" fontId="2" numFmtId="0" xfId="0" applyAlignment="1" applyBorder="1" applyFill="1" applyFont="1">
      <alignment horizontal="right" readingOrder="0"/>
    </xf>
    <xf borderId="0" fillId="8" fontId="2" numFmtId="0" xfId="0" applyAlignment="1" applyFill="1" applyFont="1">
      <alignment horizontal="right" readingOrder="0"/>
    </xf>
    <xf borderId="8" fillId="8" fontId="2" numFmtId="0" xfId="0" applyAlignment="1" applyBorder="1" applyFill="1" applyFont="1">
      <alignment horizontal="right" readingOrder="0"/>
    </xf>
    <xf borderId="8" fillId="2" fontId="2" numFmtId="0" xfId="0" applyAlignment="1" applyBorder="1" applyFill="1" applyFont="1">
      <alignment horizontal="right" readingOrder="0"/>
    </xf>
    <xf borderId="17" fillId="0" fontId="2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16.13"/>
    <col customWidth="1" min="2" max="2" width="16.13"/>
    <col customWidth="1" min="3" max="32" width="6.0"/>
    <col customWidth="1" min="33" max="58" width="5.88"/>
    <col customWidth="1" min="59" max="59" width="6.0"/>
    <col customWidth="1" min="60" max="64" width="5.88"/>
    <col customWidth="1" min="65" max="68" width="7.75"/>
  </cols>
  <sheetData>
    <row r="1">
      <c r="A1" s="1"/>
      <c r="B1" s="2" t="s">
        <v>0</v>
      </c>
      <c r="C1" s="3">
        <v>1.0</v>
      </c>
      <c r="D1" s="4"/>
      <c r="E1" s="3">
        <v>2.0</v>
      </c>
      <c r="F1" s="4"/>
      <c r="G1" s="3">
        <v>3.0</v>
      </c>
      <c r="H1" s="4"/>
      <c r="I1" s="3">
        <v>4.0</v>
      </c>
      <c r="J1" s="4"/>
      <c r="K1" s="3">
        <v>5.0</v>
      </c>
      <c r="L1" s="4"/>
      <c r="M1" s="3">
        <v>6.0</v>
      </c>
      <c r="N1" s="4"/>
      <c r="O1" s="3">
        <v>7.0</v>
      </c>
      <c r="P1" s="4"/>
      <c r="Q1" s="3">
        <v>8.0</v>
      </c>
      <c r="R1" s="4"/>
      <c r="S1" s="3">
        <v>9.0</v>
      </c>
      <c r="T1" s="4"/>
      <c r="U1" s="3">
        <v>10.0</v>
      </c>
      <c r="V1" s="4"/>
      <c r="W1" s="3">
        <v>11.0</v>
      </c>
      <c r="X1" s="4"/>
      <c r="Y1" s="3">
        <v>12.0</v>
      </c>
      <c r="Z1" s="4"/>
      <c r="AA1" s="3">
        <v>13.0</v>
      </c>
      <c r="AB1" s="4"/>
      <c r="AC1" s="3">
        <v>14.0</v>
      </c>
      <c r="AD1" s="4"/>
      <c r="AE1" s="3">
        <v>15.0</v>
      </c>
      <c r="AF1" s="4"/>
      <c r="AG1" s="5">
        <v>16.0</v>
      </c>
      <c r="AH1" s="4"/>
      <c r="AI1" s="5">
        <v>17.0</v>
      </c>
      <c r="AJ1" s="4"/>
      <c r="AK1" s="5">
        <v>18.0</v>
      </c>
      <c r="AL1" s="4"/>
      <c r="AM1" s="5">
        <v>19.0</v>
      </c>
      <c r="AN1" s="4"/>
      <c r="AO1" s="5">
        <v>20.0</v>
      </c>
      <c r="AP1" s="4"/>
      <c r="AQ1" s="5">
        <v>21.0</v>
      </c>
      <c r="AR1" s="4"/>
      <c r="AS1" s="5">
        <v>22.0</v>
      </c>
      <c r="AT1" s="4"/>
      <c r="AU1" s="5">
        <v>23.0</v>
      </c>
      <c r="AV1" s="4"/>
      <c r="AW1" s="5">
        <v>24.0</v>
      </c>
      <c r="AX1" s="4"/>
      <c r="AY1" s="5">
        <v>25.0</v>
      </c>
      <c r="AZ1" s="4"/>
      <c r="BA1" s="5">
        <v>26.0</v>
      </c>
      <c r="BB1" s="4"/>
      <c r="BC1" s="5">
        <v>27.0</v>
      </c>
      <c r="BD1" s="4"/>
      <c r="BE1" s="5">
        <v>28.0</v>
      </c>
      <c r="BF1" s="4"/>
      <c r="BG1" s="5">
        <v>29.0</v>
      </c>
      <c r="BH1" s="4"/>
      <c r="BI1" s="5">
        <v>30.0</v>
      </c>
      <c r="BJ1" s="4"/>
      <c r="BK1" s="5"/>
      <c r="BL1" s="4"/>
      <c r="BM1" s="6"/>
      <c r="BN1" s="6"/>
      <c r="BO1" s="6"/>
      <c r="BP1" s="6"/>
    </row>
    <row r="2">
      <c r="A2" s="1"/>
      <c r="B2" s="7"/>
      <c r="C2" s="8" t="s">
        <v>1</v>
      </c>
      <c r="D2" s="4"/>
      <c r="E2" s="9" t="s">
        <v>2</v>
      </c>
      <c r="F2" s="4"/>
      <c r="G2" s="8" t="s">
        <v>3</v>
      </c>
      <c r="H2" s="4"/>
      <c r="I2" s="9" t="s">
        <v>4</v>
      </c>
      <c r="J2" s="4"/>
      <c r="K2" s="8" t="s">
        <v>5</v>
      </c>
      <c r="L2" s="4"/>
      <c r="M2" s="8" t="s">
        <v>6</v>
      </c>
      <c r="N2" s="4"/>
      <c r="O2" s="8" t="s">
        <v>7</v>
      </c>
      <c r="P2" s="4"/>
      <c r="Q2" s="8" t="s">
        <v>1</v>
      </c>
      <c r="R2" s="4"/>
      <c r="S2" s="9" t="s">
        <v>2</v>
      </c>
      <c r="T2" s="4"/>
      <c r="U2" s="8" t="s">
        <v>3</v>
      </c>
      <c r="V2" s="4"/>
      <c r="W2" s="9" t="s">
        <v>4</v>
      </c>
      <c r="X2" s="4"/>
      <c r="Y2" s="8" t="s">
        <v>5</v>
      </c>
      <c r="Z2" s="4"/>
      <c r="AA2" s="8" t="s">
        <v>6</v>
      </c>
      <c r="AB2" s="4"/>
      <c r="AC2" s="8" t="s">
        <v>7</v>
      </c>
      <c r="AD2" s="4"/>
      <c r="AE2" s="8" t="s">
        <v>1</v>
      </c>
      <c r="AF2" s="4"/>
      <c r="AG2" s="9" t="s">
        <v>2</v>
      </c>
      <c r="AH2" s="4"/>
      <c r="AI2" s="8" t="s">
        <v>3</v>
      </c>
      <c r="AJ2" s="4"/>
      <c r="AK2" s="9" t="s">
        <v>4</v>
      </c>
      <c r="AL2" s="4"/>
      <c r="AM2" s="8" t="s">
        <v>5</v>
      </c>
      <c r="AN2" s="4"/>
      <c r="AO2" s="8" t="s">
        <v>6</v>
      </c>
      <c r="AP2" s="4"/>
      <c r="AQ2" s="8" t="s">
        <v>7</v>
      </c>
      <c r="AR2" s="4"/>
      <c r="AS2" s="8" t="s">
        <v>1</v>
      </c>
      <c r="AT2" s="4"/>
      <c r="AU2" s="9" t="s">
        <v>2</v>
      </c>
      <c r="AV2" s="4"/>
      <c r="AW2" s="8" t="s">
        <v>3</v>
      </c>
      <c r="AX2" s="4"/>
      <c r="AY2" s="9" t="s">
        <v>4</v>
      </c>
      <c r="AZ2" s="4"/>
      <c r="BA2" s="8" t="s">
        <v>5</v>
      </c>
      <c r="BB2" s="4"/>
      <c r="BC2" s="8" t="s">
        <v>6</v>
      </c>
      <c r="BD2" s="4"/>
      <c r="BE2" s="8" t="s">
        <v>7</v>
      </c>
      <c r="BF2" s="4"/>
      <c r="BG2" s="8" t="s">
        <v>1</v>
      </c>
      <c r="BH2" s="4"/>
      <c r="BI2" s="9" t="s">
        <v>2</v>
      </c>
      <c r="BJ2" s="4"/>
      <c r="BK2" s="8"/>
      <c r="BL2" s="4"/>
      <c r="BM2" s="10"/>
      <c r="BN2" s="10"/>
      <c r="BO2" s="10"/>
      <c r="BP2" s="10"/>
    </row>
    <row r="3">
      <c r="A3" s="1"/>
      <c r="B3" s="11"/>
      <c r="C3" s="12"/>
      <c r="D3" s="12"/>
      <c r="E3" s="13"/>
      <c r="F3" s="12"/>
      <c r="G3" s="14"/>
      <c r="L3" s="12"/>
      <c r="M3" s="15"/>
      <c r="N3" s="16"/>
      <c r="O3" s="12"/>
      <c r="P3" s="17"/>
      <c r="Q3" s="12"/>
      <c r="R3" s="13"/>
      <c r="S3" s="12"/>
      <c r="T3" s="12"/>
      <c r="U3" s="12"/>
      <c r="V3" s="13"/>
      <c r="W3" s="13"/>
      <c r="X3" s="12"/>
      <c r="Y3" s="17"/>
      <c r="Z3" s="12"/>
      <c r="AA3" s="12"/>
      <c r="AB3" s="12"/>
      <c r="AC3" s="12"/>
      <c r="AD3" s="13"/>
      <c r="AE3" s="18"/>
      <c r="AF3" s="4"/>
      <c r="AG3" s="12"/>
      <c r="AH3" s="12"/>
      <c r="AI3" s="13"/>
      <c r="AJ3" s="13"/>
      <c r="AK3" s="12"/>
      <c r="AL3" s="12"/>
      <c r="AM3" s="19"/>
      <c r="AN3" s="20"/>
      <c r="AO3" s="20"/>
      <c r="AP3" s="20"/>
      <c r="AQ3" s="20"/>
      <c r="AR3" s="20"/>
      <c r="AS3" s="21"/>
      <c r="AT3" s="22"/>
      <c r="AU3" s="21"/>
      <c r="AV3" s="22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23"/>
      <c r="BN3" s="23"/>
      <c r="BO3" s="23"/>
      <c r="BP3" s="23"/>
    </row>
    <row r="4">
      <c r="A4" s="24">
        <v>90929.0</v>
      </c>
      <c r="B4" s="25" t="s">
        <v>8</v>
      </c>
      <c r="C4" s="26" t="s">
        <v>9</v>
      </c>
      <c r="D4" s="4"/>
      <c r="E4" s="26" t="s">
        <v>9</v>
      </c>
      <c r="F4" s="4"/>
      <c r="G4" s="26" t="s">
        <v>9</v>
      </c>
      <c r="H4" s="4"/>
      <c r="I4" s="26" t="s">
        <v>9</v>
      </c>
      <c r="J4" s="4"/>
      <c r="K4" s="26" t="s">
        <v>9</v>
      </c>
      <c r="L4" s="4"/>
      <c r="M4" s="26" t="s">
        <v>9</v>
      </c>
      <c r="N4" s="4"/>
      <c r="O4" s="26" t="s">
        <v>9</v>
      </c>
      <c r="P4" s="4"/>
      <c r="Q4" s="26" t="s">
        <v>9</v>
      </c>
      <c r="R4" s="4"/>
      <c r="S4" s="26" t="s">
        <v>9</v>
      </c>
      <c r="T4" s="4"/>
      <c r="U4" s="26" t="s">
        <v>9</v>
      </c>
      <c r="V4" s="4"/>
      <c r="W4" s="26" t="s">
        <v>9</v>
      </c>
      <c r="X4" s="4"/>
      <c r="Y4" s="26" t="s">
        <v>9</v>
      </c>
      <c r="Z4" s="4"/>
      <c r="AA4" s="26" t="s">
        <v>9</v>
      </c>
      <c r="AB4" s="4"/>
      <c r="AC4" s="26" t="s">
        <v>9</v>
      </c>
      <c r="AD4" s="4"/>
      <c r="AE4" s="26" t="s">
        <v>9</v>
      </c>
      <c r="AF4" s="4"/>
      <c r="AG4" s="26" t="s">
        <v>9</v>
      </c>
      <c r="AH4" s="4"/>
      <c r="AI4" s="26" t="s">
        <v>9</v>
      </c>
      <c r="AJ4" s="4"/>
      <c r="AK4" s="26" t="s">
        <v>9</v>
      </c>
      <c r="AL4" s="4"/>
      <c r="AM4" s="26" t="s">
        <v>9</v>
      </c>
      <c r="AN4" s="4"/>
      <c r="AO4" s="26" t="s">
        <v>9</v>
      </c>
      <c r="AP4" s="4"/>
      <c r="AQ4" s="26" t="s">
        <v>9</v>
      </c>
      <c r="AR4" s="4"/>
      <c r="AS4" s="26" t="s">
        <v>9</v>
      </c>
      <c r="AT4" s="4"/>
      <c r="AU4" s="26" t="s">
        <v>9</v>
      </c>
      <c r="AV4" s="4"/>
      <c r="AW4" s="26" t="s">
        <v>9</v>
      </c>
      <c r="AX4" s="4"/>
      <c r="AY4" s="26" t="s">
        <v>9</v>
      </c>
      <c r="AZ4" s="4"/>
      <c r="BA4" s="26" t="s">
        <v>9</v>
      </c>
      <c r="BB4" s="4"/>
      <c r="BC4" s="26" t="s">
        <v>9</v>
      </c>
      <c r="BD4" s="4"/>
      <c r="BE4" s="26" t="s">
        <v>9</v>
      </c>
      <c r="BF4" s="4"/>
      <c r="BG4" s="26" t="s">
        <v>9</v>
      </c>
      <c r="BH4" s="4"/>
      <c r="BI4" s="26" t="s">
        <v>9</v>
      </c>
      <c r="BJ4" s="4"/>
      <c r="BK4" s="26" t="s">
        <v>9</v>
      </c>
      <c r="BL4" s="4"/>
      <c r="BM4" s="23"/>
      <c r="BN4" s="23"/>
      <c r="BO4" s="23"/>
      <c r="BP4" s="23"/>
    </row>
    <row r="5" hidden="1">
      <c r="A5" s="24"/>
      <c r="B5" s="25" t="s">
        <v>10</v>
      </c>
      <c r="C5" s="27">
        <v>0.3541666666666667</v>
      </c>
      <c r="D5" s="28">
        <v>0.625</v>
      </c>
      <c r="E5" s="26" t="s">
        <v>9</v>
      </c>
      <c r="F5" s="4"/>
      <c r="G5" s="29">
        <v>0.2916666666666667</v>
      </c>
      <c r="H5" s="30">
        <v>0.625</v>
      </c>
      <c r="I5" s="29">
        <v>0.2916666666666667</v>
      </c>
      <c r="J5" s="30">
        <v>0.625</v>
      </c>
      <c r="K5" s="26" t="s">
        <v>9</v>
      </c>
      <c r="L5" s="4"/>
      <c r="M5" s="29">
        <v>0.2916666666666667</v>
      </c>
      <c r="N5" s="30">
        <v>0.625</v>
      </c>
      <c r="O5" s="31">
        <v>0.2916666666666667</v>
      </c>
      <c r="P5" s="32">
        <v>0.6666666666666666</v>
      </c>
      <c r="Q5" s="27">
        <v>0.3541666666666667</v>
      </c>
      <c r="R5" s="28">
        <v>0.625</v>
      </c>
      <c r="S5" s="26" t="s">
        <v>9</v>
      </c>
      <c r="T5" s="4"/>
      <c r="U5" s="29">
        <v>0.2916666666666667</v>
      </c>
      <c r="V5" s="30">
        <v>0.625</v>
      </c>
      <c r="W5" s="29">
        <v>0.2916666666666667</v>
      </c>
      <c r="X5" s="30">
        <v>0.625</v>
      </c>
      <c r="Y5" s="26" t="s">
        <v>9</v>
      </c>
      <c r="Z5" s="4"/>
      <c r="AA5" s="29">
        <v>0.2916666666666667</v>
      </c>
      <c r="AB5" s="30">
        <v>0.625</v>
      </c>
      <c r="AC5" s="31">
        <v>0.2916666666666667</v>
      </c>
      <c r="AD5" s="32">
        <v>0.6666666666666666</v>
      </c>
      <c r="AE5" s="27">
        <v>0.3541666666666667</v>
      </c>
      <c r="AF5" s="28">
        <v>0.625</v>
      </c>
      <c r="AG5" s="26" t="s">
        <v>9</v>
      </c>
      <c r="AH5" s="4"/>
      <c r="AI5" s="29">
        <v>0.2916666666666667</v>
      </c>
      <c r="AJ5" s="30">
        <v>0.625</v>
      </c>
      <c r="AK5" s="29">
        <v>0.2916666666666667</v>
      </c>
      <c r="AL5" s="30">
        <v>0.625</v>
      </c>
      <c r="AM5" s="26" t="s">
        <v>9</v>
      </c>
      <c r="AN5" s="4"/>
      <c r="AO5" s="29">
        <v>0.2916666666666667</v>
      </c>
      <c r="AP5" s="30">
        <v>0.625</v>
      </c>
      <c r="AQ5" s="31">
        <v>0.2916666666666667</v>
      </c>
      <c r="AR5" s="32">
        <v>0.6666666666666666</v>
      </c>
      <c r="AS5" s="27">
        <v>0.3541666666666667</v>
      </c>
      <c r="AT5" s="28">
        <v>0.625</v>
      </c>
      <c r="AU5" s="26" t="s">
        <v>9</v>
      </c>
      <c r="AV5" s="4"/>
      <c r="AW5" s="29">
        <v>0.2916666666666667</v>
      </c>
      <c r="AX5" s="30">
        <v>0.625</v>
      </c>
      <c r="AY5" s="29">
        <v>0.2916666666666667</v>
      </c>
      <c r="AZ5" s="30">
        <v>0.625</v>
      </c>
      <c r="BA5" s="26" t="s">
        <v>9</v>
      </c>
      <c r="BB5" s="4"/>
      <c r="BC5" s="29">
        <v>0.2916666666666667</v>
      </c>
      <c r="BD5" s="30">
        <v>0.625</v>
      </c>
      <c r="BE5" s="31">
        <v>0.2916666666666667</v>
      </c>
      <c r="BF5" s="32">
        <v>0.6666666666666666</v>
      </c>
      <c r="BG5" s="27">
        <v>0.3541666666666667</v>
      </c>
      <c r="BH5" s="28">
        <v>0.625</v>
      </c>
      <c r="BI5" s="26" t="s">
        <v>9</v>
      </c>
      <c r="BJ5" s="4"/>
      <c r="BK5" s="29">
        <v>0.2916666666666667</v>
      </c>
      <c r="BL5" s="30">
        <v>0.625</v>
      </c>
      <c r="BM5" s="33"/>
      <c r="BN5" s="33"/>
      <c r="BO5" s="33"/>
      <c r="BP5" s="33"/>
    </row>
    <row r="6">
      <c r="A6" s="34">
        <v>222557.0</v>
      </c>
      <c r="B6" s="35" t="s">
        <v>11</v>
      </c>
      <c r="C6" s="27">
        <v>0.2916666666666667</v>
      </c>
      <c r="D6" s="28">
        <v>0.625</v>
      </c>
      <c r="E6" s="26" t="s">
        <v>9</v>
      </c>
      <c r="F6" s="4"/>
      <c r="G6" s="26" t="s">
        <v>9</v>
      </c>
      <c r="H6" s="4"/>
      <c r="I6" s="26" t="s">
        <v>9</v>
      </c>
      <c r="J6" s="4"/>
      <c r="K6" s="26" t="s">
        <v>9</v>
      </c>
      <c r="L6" s="4"/>
      <c r="M6" s="26" t="s">
        <v>9</v>
      </c>
      <c r="N6" s="4"/>
      <c r="O6" s="26" t="s">
        <v>9</v>
      </c>
      <c r="P6" s="4"/>
      <c r="Q6" s="31">
        <v>0.2916666666666667</v>
      </c>
      <c r="R6" s="32">
        <v>0.6666666666666666</v>
      </c>
      <c r="S6" s="26" t="s">
        <v>9</v>
      </c>
      <c r="T6" s="4"/>
      <c r="U6" s="26" t="s">
        <v>9</v>
      </c>
      <c r="V6" s="4"/>
      <c r="W6" s="26" t="s">
        <v>9</v>
      </c>
      <c r="X6" s="4"/>
      <c r="Y6" s="26" t="s">
        <v>9</v>
      </c>
      <c r="Z6" s="4"/>
      <c r="AA6" s="26" t="s">
        <v>9</v>
      </c>
      <c r="AB6" s="4"/>
      <c r="AC6" s="26" t="s">
        <v>9</v>
      </c>
      <c r="AD6" s="4"/>
      <c r="AE6" s="27">
        <v>0.2916666666666667</v>
      </c>
      <c r="AF6" s="28">
        <v>0.625</v>
      </c>
      <c r="AG6" s="26" t="s">
        <v>9</v>
      </c>
      <c r="AH6" s="4"/>
      <c r="AI6" s="26" t="s">
        <v>9</v>
      </c>
      <c r="AJ6" s="4"/>
      <c r="AK6" s="26" t="s">
        <v>9</v>
      </c>
      <c r="AL6" s="4"/>
      <c r="AM6" s="26" t="s">
        <v>9</v>
      </c>
      <c r="AN6" s="4"/>
      <c r="AO6" s="26" t="s">
        <v>9</v>
      </c>
      <c r="AP6" s="4"/>
      <c r="AQ6" s="26" t="s">
        <v>9</v>
      </c>
      <c r="AR6" s="4"/>
      <c r="AS6" s="31">
        <v>0.2916666666666667</v>
      </c>
      <c r="AT6" s="32">
        <v>0.6666666666666666</v>
      </c>
      <c r="AU6" s="26" t="s">
        <v>9</v>
      </c>
      <c r="AV6" s="4"/>
      <c r="AW6" s="26" t="s">
        <v>9</v>
      </c>
      <c r="AX6" s="4"/>
      <c r="AY6" s="26" t="s">
        <v>9</v>
      </c>
      <c r="AZ6" s="4"/>
      <c r="BA6" s="26" t="s">
        <v>9</v>
      </c>
      <c r="BB6" s="4"/>
      <c r="BC6" s="26" t="s">
        <v>9</v>
      </c>
      <c r="BD6" s="4"/>
      <c r="BE6" s="26" t="s">
        <v>9</v>
      </c>
      <c r="BF6" s="4"/>
      <c r="BG6" s="31">
        <v>0.2916666666666667</v>
      </c>
      <c r="BH6" s="32">
        <v>0.6666666666666666</v>
      </c>
      <c r="BI6" s="26" t="s">
        <v>9</v>
      </c>
      <c r="BJ6" s="4"/>
      <c r="BK6" s="26"/>
      <c r="BL6" s="4"/>
      <c r="BM6" s="23"/>
      <c r="BN6" s="23"/>
      <c r="BO6" s="23"/>
      <c r="BP6" s="23"/>
    </row>
    <row r="7" hidden="1">
      <c r="A7" s="24"/>
      <c r="B7" s="25" t="s">
        <v>12</v>
      </c>
      <c r="C7" s="36" t="s">
        <v>9</v>
      </c>
      <c r="D7" s="37"/>
      <c r="E7" s="36" t="s">
        <v>9</v>
      </c>
      <c r="F7" s="37"/>
      <c r="G7" s="36" t="s">
        <v>9</v>
      </c>
      <c r="H7" s="37"/>
      <c r="I7" s="36" t="s">
        <v>9</v>
      </c>
      <c r="J7" s="37"/>
      <c r="K7" s="36" t="s">
        <v>9</v>
      </c>
      <c r="L7" s="37"/>
      <c r="M7" s="36" t="s">
        <v>9</v>
      </c>
      <c r="N7" s="37"/>
      <c r="O7" s="38" t="s">
        <v>9</v>
      </c>
      <c r="P7" s="39"/>
      <c r="Q7" s="36" t="s">
        <v>9</v>
      </c>
      <c r="R7" s="37"/>
      <c r="S7" s="36" t="s">
        <v>9</v>
      </c>
      <c r="T7" s="37"/>
      <c r="U7" s="36" t="s">
        <v>9</v>
      </c>
      <c r="V7" s="37"/>
      <c r="W7" s="36" t="s">
        <v>9</v>
      </c>
      <c r="X7" s="37"/>
      <c r="Y7" s="36" t="s">
        <v>9</v>
      </c>
      <c r="Z7" s="37"/>
      <c r="AA7" s="36" t="s">
        <v>9</v>
      </c>
      <c r="AB7" s="37"/>
      <c r="AC7" s="36" t="s">
        <v>9</v>
      </c>
      <c r="AD7" s="37"/>
      <c r="AE7" s="36" t="s">
        <v>9</v>
      </c>
      <c r="AF7" s="37"/>
      <c r="AG7" s="26"/>
      <c r="AH7" s="4"/>
      <c r="AI7" s="26"/>
      <c r="AJ7" s="4"/>
      <c r="AK7" s="26"/>
      <c r="AL7" s="4"/>
      <c r="AM7" s="26"/>
      <c r="AN7" s="4"/>
      <c r="AO7" s="26"/>
      <c r="AP7" s="4"/>
      <c r="AQ7" s="26"/>
      <c r="AR7" s="4"/>
      <c r="AS7" s="26"/>
      <c r="AT7" s="4"/>
      <c r="AU7" s="26"/>
      <c r="AV7" s="4"/>
      <c r="AW7" s="26"/>
      <c r="AX7" s="4"/>
      <c r="AY7" s="26"/>
      <c r="AZ7" s="4"/>
      <c r="BA7" s="26" t="s">
        <v>9</v>
      </c>
      <c r="BB7" s="4"/>
      <c r="BC7" s="26"/>
      <c r="BD7" s="4"/>
      <c r="BE7" s="26"/>
      <c r="BF7" s="4"/>
      <c r="BG7" s="26"/>
      <c r="BH7" s="4"/>
      <c r="BI7" s="26"/>
      <c r="BJ7" s="4"/>
      <c r="BK7" s="26"/>
      <c r="BL7" s="4"/>
      <c r="BM7" s="23"/>
      <c r="BN7" s="23"/>
      <c r="BO7" s="23"/>
      <c r="BP7" s="23"/>
    </row>
    <row r="8">
      <c r="A8" s="34">
        <v>222559.0</v>
      </c>
      <c r="B8" s="35" t="s">
        <v>13</v>
      </c>
      <c r="C8" s="29">
        <v>0.6145833333333334</v>
      </c>
      <c r="D8" s="30">
        <v>0.9375</v>
      </c>
      <c r="E8" s="29">
        <v>0.6145833333333334</v>
      </c>
      <c r="F8" s="30">
        <v>0.9375</v>
      </c>
      <c r="G8" s="29">
        <v>0.6145833333333334</v>
      </c>
      <c r="H8" s="30">
        <v>0.9375</v>
      </c>
      <c r="I8" s="29">
        <v>0.6145833333333334</v>
      </c>
      <c r="J8" s="30">
        <v>0.9375</v>
      </c>
      <c r="K8" s="27">
        <v>0.3541666666666667</v>
      </c>
      <c r="L8" s="28">
        <v>0.625</v>
      </c>
      <c r="M8" s="26" t="s">
        <v>9</v>
      </c>
      <c r="N8" s="4"/>
      <c r="O8" s="40">
        <v>0.3333333333333333</v>
      </c>
      <c r="P8" s="41">
        <v>0.8125</v>
      </c>
      <c r="Q8" s="29">
        <v>0.6145833333333334</v>
      </c>
      <c r="R8" s="30">
        <v>0.9375</v>
      </c>
      <c r="S8" s="29">
        <v>0.6145833333333334</v>
      </c>
      <c r="T8" s="30">
        <v>0.9375</v>
      </c>
      <c r="U8" s="29">
        <v>0.6145833333333334</v>
      </c>
      <c r="V8" s="30">
        <v>0.9375</v>
      </c>
      <c r="W8" s="29">
        <v>0.6145833333333334</v>
      </c>
      <c r="X8" s="30">
        <v>0.9375</v>
      </c>
      <c r="Y8" s="26" t="s">
        <v>9</v>
      </c>
      <c r="Z8" s="4"/>
      <c r="AA8" s="26" t="s">
        <v>9</v>
      </c>
      <c r="AB8" s="4"/>
      <c r="AC8" s="29">
        <v>0.6145833333333334</v>
      </c>
      <c r="AD8" s="30">
        <v>0.9375</v>
      </c>
      <c r="AE8" s="29">
        <v>0.6145833333333334</v>
      </c>
      <c r="AF8" s="30">
        <v>0.9375</v>
      </c>
      <c r="AG8" s="29">
        <v>0.6145833333333334</v>
      </c>
      <c r="AH8" s="30">
        <v>0.9375</v>
      </c>
      <c r="AI8" s="29">
        <v>0.6145833333333334</v>
      </c>
      <c r="AJ8" s="30">
        <v>0.9375</v>
      </c>
      <c r="AK8" s="29">
        <v>0.6145833333333334</v>
      </c>
      <c r="AL8" s="30">
        <v>0.9375</v>
      </c>
      <c r="AM8" s="26" t="s">
        <v>9</v>
      </c>
      <c r="AN8" s="4"/>
      <c r="AO8" s="26" t="s">
        <v>9</v>
      </c>
      <c r="AP8" s="4"/>
      <c r="AQ8" s="26" t="s">
        <v>9</v>
      </c>
      <c r="AR8" s="4"/>
      <c r="AS8" s="29">
        <v>0.6145833333333334</v>
      </c>
      <c r="AT8" s="30">
        <v>0.9375</v>
      </c>
      <c r="AU8" s="29">
        <v>0.6145833333333334</v>
      </c>
      <c r="AV8" s="30">
        <v>0.9375</v>
      </c>
      <c r="AW8" s="29">
        <v>0.6145833333333334</v>
      </c>
      <c r="AX8" s="30">
        <v>0.9375</v>
      </c>
      <c r="AY8" s="29">
        <v>0.6145833333333334</v>
      </c>
      <c r="AZ8" s="30">
        <v>0.9375</v>
      </c>
      <c r="BA8" s="26" t="s">
        <v>9</v>
      </c>
      <c r="BB8" s="4"/>
      <c r="BC8" s="26" t="s">
        <v>9</v>
      </c>
      <c r="BD8" s="4"/>
      <c r="BE8" s="29">
        <v>0.6145833333333334</v>
      </c>
      <c r="BF8" s="30">
        <v>0.9375</v>
      </c>
      <c r="BG8" s="29">
        <v>0.6145833333333334</v>
      </c>
      <c r="BH8" s="30">
        <v>0.9375</v>
      </c>
      <c r="BI8" s="29">
        <v>0.6145833333333334</v>
      </c>
      <c r="BJ8" s="30">
        <v>0.9375</v>
      </c>
      <c r="BK8" s="26"/>
      <c r="BL8" s="4"/>
      <c r="BM8" s="23"/>
      <c r="BN8" s="23"/>
      <c r="BO8" s="23"/>
      <c r="BP8" s="23"/>
    </row>
    <row r="9">
      <c r="A9" s="34">
        <v>222111.0</v>
      </c>
      <c r="B9" s="25" t="s">
        <v>14</v>
      </c>
      <c r="C9" s="31">
        <v>0.2916666666666667</v>
      </c>
      <c r="D9" s="32">
        <v>0.6666666666666666</v>
      </c>
      <c r="E9" s="26" t="s">
        <v>9</v>
      </c>
      <c r="F9" s="4"/>
      <c r="G9" s="26" t="s">
        <v>9</v>
      </c>
      <c r="H9" s="4"/>
      <c r="I9" s="27">
        <v>0.2916666666666667</v>
      </c>
      <c r="J9" s="28">
        <v>0.625</v>
      </c>
      <c r="K9" s="42">
        <v>0.3541666666666667</v>
      </c>
      <c r="L9" s="43">
        <v>0.6666666666666666</v>
      </c>
      <c r="M9" s="42">
        <v>0.3541666666666667</v>
      </c>
      <c r="N9" s="43">
        <v>0.6666666666666666</v>
      </c>
      <c r="O9" s="31">
        <v>0.2916666666666667</v>
      </c>
      <c r="P9" s="32">
        <v>0.6666666666666666</v>
      </c>
      <c r="Q9" s="31">
        <v>0.2916666666666667</v>
      </c>
      <c r="R9" s="32">
        <v>0.6666666666666666</v>
      </c>
      <c r="S9" s="31">
        <v>0.2916666666666667</v>
      </c>
      <c r="T9" s="32">
        <v>0.6666666666666666</v>
      </c>
      <c r="U9" s="31">
        <v>0.2916666666666667</v>
      </c>
      <c r="V9" s="32">
        <v>0.6666666666666666</v>
      </c>
      <c r="W9" s="26" t="s">
        <v>9</v>
      </c>
      <c r="X9" s="4"/>
      <c r="Y9" s="26" t="s">
        <v>9</v>
      </c>
      <c r="Z9" s="4"/>
      <c r="AA9" s="42">
        <v>0.3541666666666667</v>
      </c>
      <c r="AB9" s="43">
        <v>0.6666666666666666</v>
      </c>
      <c r="AC9" s="31">
        <v>0.2916666666666667</v>
      </c>
      <c r="AD9" s="32">
        <v>0.6666666666666666</v>
      </c>
      <c r="AE9" s="31">
        <v>0.2916666666666667</v>
      </c>
      <c r="AF9" s="32">
        <v>0.6666666666666666</v>
      </c>
      <c r="AG9" s="31">
        <v>0.2916666666666667</v>
      </c>
      <c r="AH9" s="32">
        <v>0.6666666666666666</v>
      </c>
      <c r="AI9" s="31">
        <v>0.2916666666666667</v>
      </c>
      <c r="AJ9" s="32">
        <v>0.6666666666666666</v>
      </c>
      <c r="AK9" s="26" t="s">
        <v>9</v>
      </c>
      <c r="AL9" s="4"/>
      <c r="AM9" s="26" t="s">
        <v>9</v>
      </c>
      <c r="AN9" s="4"/>
      <c r="AO9" s="26" t="s">
        <v>9</v>
      </c>
      <c r="AP9" s="4"/>
      <c r="AQ9" s="26" t="s">
        <v>9</v>
      </c>
      <c r="AR9" s="4"/>
      <c r="AS9" s="31">
        <v>0.2916666666666667</v>
      </c>
      <c r="AT9" s="32">
        <v>0.6666666666666666</v>
      </c>
      <c r="AU9" s="31">
        <v>0.2916666666666667</v>
      </c>
      <c r="AV9" s="32">
        <v>0.6666666666666666</v>
      </c>
      <c r="AW9" s="31">
        <v>0.2916666666666667</v>
      </c>
      <c r="AX9" s="32">
        <v>0.6666666666666666</v>
      </c>
      <c r="AY9" s="31">
        <v>0.2916666666666667</v>
      </c>
      <c r="AZ9" s="32">
        <v>0.6666666666666666</v>
      </c>
      <c r="BA9" s="26" t="s">
        <v>9</v>
      </c>
      <c r="BB9" s="4"/>
      <c r="BC9" s="26" t="s">
        <v>9</v>
      </c>
      <c r="BD9" s="4"/>
      <c r="BE9" s="31">
        <v>0.2916666666666667</v>
      </c>
      <c r="BF9" s="32">
        <v>0.6666666666666666</v>
      </c>
      <c r="BG9" s="31">
        <v>0.2916666666666667</v>
      </c>
      <c r="BH9" s="32">
        <v>0.6666666666666666</v>
      </c>
      <c r="BI9" s="31">
        <v>0.2916666666666667</v>
      </c>
      <c r="BJ9" s="32">
        <v>0.6666666666666666</v>
      </c>
      <c r="BK9" s="26"/>
      <c r="BL9" s="4"/>
      <c r="BM9" s="23"/>
      <c r="BN9" s="23"/>
      <c r="BO9" s="23"/>
      <c r="BP9" s="23"/>
    </row>
    <row r="10">
      <c r="A10" s="34">
        <v>400481.0</v>
      </c>
      <c r="B10" s="35" t="s">
        <v>15</v>
      </c>
      <c r="C10" s="42">
        <v>0.65625</v>
      </c>
      <c r="D10" s="44">
        <v>0.9791666666666666</v>
      </c>
      <c r="E10" s="42">
        <v>0.4895833333333333</v>
      </c>
      <c r="F10" s="44">
        <v>0.9791666666666666</v>
      </c>
      <c r="G10" s="42">
        <v>0.4895833333333333</v>
      </c>
      <c r="H10" s="44">
        <v>0.9791666666666666</v>
      </c>
      <c r="I10" s="42">
        <v>0.65625</v>
      </c>
      <c r="J10" s="44">
        <v>0.9791666666666666</v>
      </c>
      <c r="K10" s="26" t="s">
        <v>9</v>
      </c>
      <c r="L10" s="4"/>
      <c r="M10" s="42">
        <v>0.65625</v>
      </c>
      <c r="N10" s="44">
        <v>0.9791666666666666</v>
      </c>
      <c r="O10" s="42">
        <v>0.4895833333333333</v>
      </c>
      <c r="P10" s="44">
        <v>0.9791666666666666</v>
      </c>
      <c r="Q10" s="42">
        <v>0.65625</v>
      </c>
      <c r="R10" s="44">
        <v>0.9791666666666666</v>
      </c>
      <c r="S10" s="42">
        <v>0.65625</v>
      </c>
      <c r="T10" s="44">
        <v>0.9791666666666666</v>
      </c>
      <c r="U10" s="26" t="s">
        <v>9</v>
      </c>
      <c r="V10" s="4"/>
      <c r="W10" s="42">
        <v>0.2916666666666667</v>
      </c>
      <c r="X10" s="43">
        <v>0.6666666666666666</v>
      </c>
      <c r="Y10" s="42">
        <v>0.3541666666666667</v>
      </c>
      <c r="Z10" s="43">
        <v>0.6666666666666666</v>
      </c>
      <c r="AA10" s="42">
        <v>0.3541666666666667</v>
      </c>
      <c r="AB10" s="43">
        <v>0.6666666666666666</v>
      </c>
      <c r="AC10" s="42">
        <v>0.4895833333333333</v>
      </c>
      <c r="AD10" s="44">
        <v>0.9791666666666666</v>
      </c>
      <c r="AE10" s="26" t="s">
        <v>9</v>
      </c>
      <c r="AF10" s="4"/>
      <c r="AG10" s="27">
        <v>0.2916666666666667</v>
      </c>
      <c r="AH10" s="28">
        <v>0.625</v>
      </c>
      <c r="AI10" s="27">
        <v>0.2916666666666667</v>
      </c>
      <c r="AJ10" s="28">
        <v>0.625</v>
      </c>
      <c r="AK10" s="26" t="s">
        <v>9</v>
      </c>
      <c r="AL10" s="4"/>
      <c r="AM10" s="26" t="s">
        <v>9</v>
      </c>
      <c r="AN10" s="4"/>
      <c r="AO10" s="26" t="s">
        <v>9</v>
      </c>
      <c r="AP10" s="4"/>
      <c r="AQ10" s="26" t="s">
        <v>9</v>
      </c>
      <c r="AR10" s="4"/>
      <c r="AS10" s="42">
        <v>0.65625</v>
      </c>
      <c r="AT10" s="44">
        <v>0.9791666666666666</v>
      </c>
      <c r="AU10" s="42">
        <v>0.65625</v>
      </c>
      <c r="AV10" s="44">
        <v>0.9791666666666666</v>
      </c>
      <c r="AW10" s="42">
        <v>0.65625</v>
      </c>
      <c r="AX10" s="44">
        <v>0.9791666666666666</v>
      </c>
      <c r="AY10" s="42">
        <v>0.65625</v>
      </c>
      <c r="AZ10" s="44">
        <v>0.9791666666666666</v>
      </c>
      <c r="BA10" s="26" t="s">
        <v>9</v>
      </c>
      <c r="BB10" s="4"/>
      <c r="BC10" s="29">
        <v>0.6145833333333334</v>
      </c>
      <c r="BD10" s="30">
        <v>0.9375</v>
      </c>
      <c r="BE10" s="42">
        <v>0.65625</v>
      </c>
      <c r="BF10" s="44">
        <v>0.9791666666666666</v>
      </c>
      <c r="BG10" s="26" t="s">
        <v>9</v>
      </c>
      <c r="BH10" s="4"/>
      <c r="BI10" s="42">
        <v>0.65625</v>
      </c>
      <c r="BJ10" s="44">
        <v>0.9791666666666666</v>
      </c>
      <c r="BK10" s="26"/>
      <c r="BL10" s="4"/>
      <c r="BM10" s="23"/>
      <c r="BN10" s="23"/>
      <c r="BO10" s="23"/>
      <c r="BP10" s="23"/>
    </row>
    <row r="11">
      <c r="A11" s="34">
        <v>90944.0</v>
      </c>
      <c r="B11" s="25" t="s">
        <v>16</v>
      </c>
      <c r="C11" s="31">
        <v>0.2916666666666667</v>
      </c>
      <c r="D11" s="32">
        <v>0.6666666666666666</v>
      </c>
      <c r="E11" s="31">
        <v>0.2916666666666667</v>
      </c>
      <c r="F11" s="32">
        <v>0.6666666666666666</v>
      </c>
      <c r="G11" s="27">
        <v>0.2916666666666667</v>
      </c>
      <c r="H11" s="28">
        <v>0.625</v>
      </c>
      <c r="I11" s="31">
        <v>0.2916666666666667</v>
      </c>
      <c r="J11" s="32">
        <v>0.6666666666666666</v>
      </c>
      <c r="K11" s="26" t="s">
        <v>9</v>
      </c>
      <c r="L11" s="4"/>
      <c r="M11" s="27">
        <v>0.3541666666666667</v>
      </c>
      <c r="N11" s="28">
        <v>0.625</v>
      </c>
      <c r="O11" s="26" t="s">
        <v>9</v>
      </c>
      <c r="P11" s="4"/>
      <c r="Q11" s="27">
        <v>0.2916666666666667</v>
      </c>
      <c r="R11" s="28">
        <v>0.625</v>
      </c>
      <c r="S11" s="42">
        <v>0.65625</v>
      </c>
      <c r="T11" s="44">
        <v>0.9791666666666666</v>
      </c>
      <c r="U11" s="26" t="s">
        <v>9</v>
      </c>
      <c r="V11" s="4"/>
      <c r="W11" s="42">
        <v>0.2916666666666667</v>
      </c>
      <c r="X11" s="43">
        <v>0.6666666666666666</v>
      </c>
      <c r="Y11" s="26" t="s">
        <v>9</v>
      </c>
      <c r="Z11" s="4"/>
      <c r="AA11" s="42">
        <v>0.65625</v>
      </c>
      <c r="AB11" s="44">
        <v>0.9791666666666666</v>
      </c>
      <c r="AC11" s="26" t="s">
        <v>9</v>
      </c>
      <c r="AD11" s="4"/>
      <c r="AE11" s="31">
        <v>0.2916666666666667</v>
      </c>
      <c r="AF11" s="32">
        <v>0.6666666666666666</v>
      </c>
      <c r="AG11" s="26" t="s">
        <v>9</v>
      </c>
      <c r="AH11" s="4"/>
      <c r="AI11" s="42">
        <v>0.4895833333333333</v>
      </c>
      <c r="AJ11" s="44">
        <v>0.9791666666666666</v>
      </c>
      <c r="AK11" s="26" t="s">
        <v>9</v>
      </c>
      <c r="AL11" s="4"/>
      <c r="AM11" s="26" t="s">
        <v>9</v>
      </c>
      <c r="AN11" s="4"/>
      <c r="AO11" s="26" t="s">
        <v>9</v>
      </c>
      <c r="AP11" s="4"/>
      <c r="AQ11" s="26" t="s">
        <v>9</v>
      </c>
      <c r="AR11" s="4"/>
      <c r="AS11" s="26" t="s">
        <v>9</v>
      </c>
      <c r="AT11" s="4"/>
      <c r="AU11" s="27">
        <v>0.2916666666666667</v>
      </c>
      <c r="AV11" s="28">
        <v>0.625</v>
      </c>
      <c r="AW11" s="26" t="s">
        <v>9</v>
      </c>
      <c r="AX11" s="4"/>
      <c r="AY11" s="27">
        <v>0.2916666666666667</v>
      </c>
      <c r="AZ11" s="28">
        <v>0.625</v>
      </c>
      <c r="BA11" s="26" t="s">
        <v>9</v>
      </c>
      <c r="BB11" s="4"/>
      <c r="BC11" s="26" t="s">
        <v>9</v>
      </c>
      <c r="BD11" s="4"/>
      <c r="BE11" s="26" t="s">
        <v>9</v>
      </c>
      <c r="BF11" s="4"/>
      <c r="BG11" s="26" t="s">
        <v>9</v>
      </c>
      <c r="BH11" s="4"/>
      <c r="BI11" s="27">
        <v>0.2916666666666667</v>
      </c>
      <c r="BJ11" s="28">
        <v>0.625</v>
      </c>
      <c r="BK11" s="26"/>
      <c r="BL11" s="4"/>
      <c r="BM11" s="23"/>
      <c r="BN11" s="23"/>
      <c r="BO11" s="23"/>
      <c r="BP11" s="23"/>
    </row>
    <row r="12" hidden="1">
      <c r="A12" s="24">
        <v>901927.0</v>
      </c>
      <c r="B12" s="25" t="s">
        <v>17</v>
      </c>
      <c r="C12" s="26" t="s">
        <v>9</v>
      </c>
      <c r="D12" s="4"/>
      <c r="E12" s="26" t="s">
        <v>9</v>
      </c>
      <c r="F12" s="4"/>
      <c r="G12" s="26" t="s">
        <v>9</v>
      </c>
      <c r="H12" s="4"/>
      <c r="I12" s="26" t="s">
        <v>9</v>
      </c>
      <c r="J12" s="4"/>
      <c r="K12" s="29">
        <v>0.2916666666666667</v>
      </c>
      <c r="L12" s="30">
        <v>0.625</v>
      </c>
      <c r="M12" s="26" t="s">
        <v>9</v>
      </c>
      <c r="N12" s="4"/>
      <c r="O12" s="29">
        <v>0.2916666666666667</v>
      </c>
      <c r="P12" s="30">
        <v>0.625</v>
      </c>
      <c r="Q12" s="26" t="s">
        <v>9</v>
      </c>
      <c r="R12" s="4"/>
      <c r="S12" s="26" t="s">
        <v>9</v>
      </c>
      <c r="T12" s="4"/>
      <c r="U12" s="26" t="s">
        <v>9</v>
      </c>
      <c r="V12" s="4"/>
      <c r="W12" s="26" t="s">
        <v>9</v>
      </c>
      <c r="X12" s="4"/>
      <c r="Y12" s="29">
        <v>0.2916666666666667</v>
      </c>
      <c r="Z12" s="30">
        <v>0.625</v>
      </c>
      <c r="AA12" s="26" t="s">
        <v>9</v>
      </c>
      <c r="AB12" s="4"/>
      <c r="AC12" s="29">
        <v>0.2916666666666667</v>
      </c>
      <c r="AD12" s="30">
        <v>0.625</v>
      </c>
      <c r="AE12" s="26" t="s">
        <v>9</v>
      </c>
      <c r="AF12" s="4"/>
      <c r="AG12" s="45"/>
      <c r="AH12" s="4"/>
      <c r="AI12" s="45"/>
      <c r="AJ12" s="4"/>
      <c r="AK12" s="45"/>
      <c r="AL12" s="4"/>
      <c r="AM12" s="45"/>
      <c r="AN12" s="4"/>
      <c r="AO12" s="45"/>
      <c r="AP12" s="4"/>
      <c r="AQ12" s="45"/>
      <c r="AR12" s="4"/>
      <c r="AS12" s="45"/>
      <c r="AT12" s="4"/>
      <c r="AU12" s="45"/>
      <c r="AV12" s="4"/>
      <c r="AW12" s="45"/>
      <c r="AX12" s="4"/>
      <c r="AY12" s="45"/>
      <c r="AZ12" s="4"/>
      <c r="BA12" s="26" t="s">
        <v>9</v>
      </c>
      <c r="BB12" s="4"/>
      <c r="BC12" s="45"/>
      <c r="BD12" s="4"/>
      <c r="BE12" s="45"/>
      <c r="BF12" s="4"/>
      <c r="BG12" s="26" t="s">
        <v>9</v>
      </c>
      <c r="BH12" s="4"/>
      <c r="BI12" s="45"/>
      <c r="BJ12" s="4"/>
      <c r="BK12" s="26"/>
      <c r="BL12" s="4"/>
      <c r="BM12" s="23"/>
      <c r="BN12" s="23"/>
      <c r="BO12" s="23"/>
      <c r="BP12" s="23"/>
    </row>
    <row r="13">
      <c r="A13" s="34">
        <v>400482.0</v>
      </c>
      <c r="B13" s="25" t="s">
        <v>18</v>
      </c>
      <c r="C13" s="26" t="s">
        <v>9</v>
      </c>
      <c r="D13" s="4"/>
      <c r="E13" s="26" t="s">
        <v>9</v>
      </c>
      <c r="F13" s="4"/>
      <c r="G13" s="26" t="s">
        <v>9</v>
      </c>
      <c r="H13" s="4"/>
      <c r="I13" s="26" t="s">
        <v>9</v>
      </c>
      <c r="J13" s="4"/>
      <c r="K13" s="26" t="s">
        <v>9</v>
      </c>
      <c r="L13" s="4"/>
      <c r="M13" s="26" t="s">
        <v>9</v>
      </c>
      <c r="N13" s="4"/>
      <c r="O13" s="42">
        <v>0.65625</v>
      </c>
      <c r="P13" s="44">
        <v>0.9791666666666666</v>
      </c>
      <c r="Q13" s="26" t="s">
        <v>9</v>
      </c>
      <c r="R13" s="4"/>
      <c r="S13" s="29">
        <v>0.6145833333333334</v>
      </c>
      <c r="T13" s="30">
        <v>0.9375</v>
      </c>
      <c r="U13" s="29">
        <v>0.6145833333333334</v>
      </c>
      <c r="V13" s="30">
        <v>0.9375</v>
      </c>
      <c r="W13" s="26" t="s">
        <v>9</v>
      </c>
      <c r="X13" s="4"/>
      <c r="Y13" s="42">
        <v>0.65625</v>
      </c>
      <c r="Z13" s="44">
        <v>0.9791666666666666</v>
      </c>
      <c r="AA13" s="42">
        <v>0.65625</v>
      </c>
      <c r="AB13" s="44">
        <v>0.9791666666666666</v>
      </c>
      <c r="AC13" s="42">
        <v>0.65625</v>
      </c>
      <c r="AD13" s="44">
        <v>0.9791666666666666</v>
      </c>
      <c r="AE13" s="26" t="s">
        <v>9</v>
      </c>
      <c r="AF13" s="4"/>
      <c r="AG13" s="42">
        <v>0.65625</v>
      </c>
      <c r="AH13" s="44">
        <v>0.9791666666666666</v>
      </c>
      <c r="AI13" s="26" t="s">
        <v>9</v>
      </c>
      <c r="AJ13" s="4"/>
      <c r="AK13" s="26" t="s">
        <v>9</v>
      </c>
      <c r="AL13" s="4"/>
      <c r="AM13" s="27">
        <v>0.3541666666666667</v>
      </c>
      <c r="AN13" s="28">
        <v>0.625</v>
      </c>
      <c r="AO13" s="27">
        <v>0.3541666666666667</v>
      </c>
      <c r="AP13" s="28">
        <v>0.625</v>
      </c>
      <c r="AQ13" s="29">
        <v>0.6145833333333334</v>
      </c>
      <c r="AR13" s="30">
        <v>0.9375</v>
      </c>
      <c r="AS13" s="26" t="s">
        <v>9</v>
      </c>
      <c r="AT13" s="4"/>
      <c r="AU13" s="42">
        <v>0.65625</v>
      </c>
      <c r="AV13" s="44">
        <v>0.9791666666666666</v>
      </c>
      <c r="AW13" s="42">
        <v>0.65625</v>
      </c>
      <c r="AX13" s="44">
        <v>0.9791666666666666</v>
      </c>
      <c r="AY13" s="26" t="s">
        <v>9</v>
      </c>
      <c r="AZ13" s="4"/>
      <c r="BA13" s="26" t="s">
        <v>9</v>
      </c>
      <c r="BB13" s="4"/>
      <c r="BC13" s="42">
        <v>0.65625</v>
      </c>
      <c r="BD13" s="44">
        <v>0.9791666666666666</v>
      </c>
      <c r="BE13" s="42">
        <v>0.65625</v>
      </c>
      <c r="BF13" s="44">
        <v>0.9791666666666666</v>
      </c>
      <c r="BG13" s="26" t="s">
        <v>9</v>
      </c>
      <c r="BH13" s="4"/>
      <c r="BI13" s="29">
        <v>0.6145833333333334</v>
      </c>
      <c r="BJ13" s="30">
        <v>0.9375</v>
      </c>
      <c r="BK13" s="26"/>
      <c r="BL13" s="4"/>
      <c r="BM13" s="23"/>
      <c r="BN13" s="23"/>
      <c r="BO13" s="23"/>
      <c r="BP13" s="23"/>
    </row>
    <row r="14">
      <c r="A14" s="34">
        <v>20441.0</v>
      </c>
      <c r="B14" s="25" t="s">
        <v>19</v>
      </c>
      <c r="C14" s="27">
        <v>0.2916666666666667</v>
      </c>
      <c r="D14" s="28">
        <v>0.625</v>
      </c>
      <c r="E14" s="27">
        <v>0.2916666666666667</v>
      </c>
      <c r="F14" s="28">
        <v>0.625</v>
      </c>
      <c r="G14" s="31">
        <v>0.2916666666666667</v>
      </c>
      <c r="H14" s="32">
        <v>0.6666666666666666</v>
      </c>
      <c r="I14" s="31">
        <v>0.2916666666666667</v>
      </c>
      <c r="J14" s="32">
        <v>0.6666666666666666</v>
      </c>
      <c r="K14" s="42">
        <v>0.65625</v>
      </c>
      <c r="L14" s="44">
        <v>0.9791666666666666</v>
      </c>
      <c r="M14" s="26" t="s">
        <v>9</v>
      </c>
      <c r="N14" s="4"/>
      <c r="O14" s="29">
        <v>0.6145833333333334</v>
      </c>
      <c r="P14" s="30">
        <v>0.9375</v>
      </c>
      <c r="Q14" s="26" t="s">
        <v>9</v>
      </c>
      <c r="R14" s="4"/>
      <c r="S14" s="27">
        <v>0.2916666666666667</v>
      </c>
      <c r="T14" s="28">
        <v>0.625</v>
      </c>
      <c r="U14" s="27">
        <v>0.2916666666666667</v>
      </c>
      <c r="V14" s="28">
        <v>0.625</v>
      </c>
      <c r="W14" s="27">
        <v>0.2916666666666667</v>
      </c>
      <c r="X14" s="28">
        <v>0.625</v>
      </c>
      <c r="Y14" s="27">
        <v>0.3541666666666667</v>
      </c>
      <c r="Z14" s="28">
        <v>0.625</v>
      </c>
      <c r="AA14" s="26" t="s">
        <v>9</v>
      </c>
      <c r="AB14" s="4"/>
      <c r="AC14" s="27">
        <v>0.2916666666666667</v>
      </c>
      <c r="AD14" s="28">
        <v>0.625</v>
      </c>
      <c r="AE14" s="29">
        <v>0.6145833333333334</v>
      </c>
      <c r="AF14" s="30">
        <v>0.9375</v>
      </c>
      <c r="AG14" s="31">
        <v>0.2916666666666667</v>
      </c>
      <c r="AH14" s="32">
        <v>0.6666666666666666</v>
      </c>
      <c r="AI14" s="27">
        <v>0.2916666666666667</v>
      </c>
      <c r="AJ14" s="28">
        <v>0.625</v>
      </c>
      <c r="AK14" s="29">
        <v>0.6145833333333334</v>
      </c>
      <c r="AL14" s="30">
        <v>0.9375</v>
      </c>
      <c r="AM14" s="29">
        <v>0.6145833333333334</v>
      </c>
      <c r="AN14" s="30">
        <v>0.9375</v>
      </c>
      <c r="AO14" s="26" t="s">
        <v>9</v>
      </c>
      <c r="AP14" s="4"/>
      <c r="AQ14" s="26" t="s">
        <v>9</v>
      </c>
      <c r="AR14" s="4"/>
      <c r="AS14" s="27">
        <v>0.2916666666666667</v>
      </c>
      <c r="AT14" s="28">
        <v>0.625</v>
      </c>
      <c r="AU14" s="26" t="s">
        <v>9</v>
      </c>
      <c r="AV14" s="4"/>
      <c r="AW14" s="27">
        <v>0.2916666666666667</v>
      </c>
      <c r="AX14" s="28">
        <v>0.625</v>
      </c>
      <c r="AY14" s="26" t="s">
        <v>9</v>
      </c>
      <c r="AZ14" s="4"/>
      <c r="BA14" s="26" t="s">
        <v>9</v>
      </c>
      <c r="BB14" s="4"/>
      <c r="BC14" s="26" t="s">
        <v>9</v>
      </c>
      <c r="BD14" s="4"/>
      <c r="BE14" s="27">
        <v>0.2916666666666667</v>
      </c>
      <c r="BF14" s="28">
        <v>0.625</v>
      </c>
      <c r="BG14" s="27">
        <v>0.2916666666666667</v>
      </c>
      <c r="BH14" s="28">
        <v>0.625</v>
      </c>
      <c r="BI14" s="31">
        <v>0.2916666666666667</v>
      </c>
      <c r="BJ14" s="32">
        <v>0.6666666666666666</v>
      </c>
      <c r="BK14" s="26"/>
      <c r="BL14" s="4"/>
      <c r="BM14" s="23"/>
      <c r="BN14" s="23"/>
      <c r="BO14" s="23"/>
      <c r="BP14" s="23"/>
    </row>
    <row r="15" hidden="1">
      <c r="A15" s="24"/>
      <c r="B15" s="25" t="s">
        <v>12</v>
      </c>
      <c r="C15" s="26" t="s">
        <v>9</v>
      </c>
      <c r="D15" s="4"/>
      <c r="E15" s="26" t="s">
        <v>9</v>
      </c>
      <c r="F15" s="4"/>
      <c r="G15" s="26" t="s">
        <v>9</v>
      </c>
      <c r="H15" s="4"/>
      <c r="I15" s="31">
        <v>0.2916666666666667</v>
      </c>
      <c r="J15" s="32">
        <v>0.6666666666666666</v>
      </c>
      <c r="K15" s="26" t="s">
        <v>9</v>
      </c>
      <c r="L15" s="4"/>
      <c r="M15" s="46">
        <v>0.2916666666666667</v>
      </c>
      <c r="N15" s="47">
        <v>0.6666666666666666</v>
      </c>
      <c r="O15" s="26" t="s">
        <v>9</v>
      </c>
      <c r="P15" s="4"/>
      <c r="Q15" s="42">
        <v>0.65625</v>
      </c>
      <c r="R15" s="44">
        <v>0.9791666666666666</v>
      </c>
      <c r="S15" s="26" t="s">
        <v>9</v>
      </c>
      <c r="T15" s="4"/>
      <c r="U15" s="26" t="s">
        <v>9</v>
      </c>
      <c r="V15" s="4"/>
      <c r="W15" s="46">
        <v>0.2916666666666667</v>
      </c>
      <c r="X15" s="47">
        <v>0.6666666666666666</v>
      </c>
      <c r="Y15" s="26" t="s">
        <v>9</v>
      </c>
      <c r="Z15" s="4"/>
      <c r="AA15" s="46">
        <v>0.2916666666666667</v>
      </c>
      <c r="AB15" s="47">
        <v>0.6666666666666666</v>
      </c>
      <c r="AC15" s="26" t="s">
        <v>9</v>
      </c>
      <c r="AD15" s="4"/>
      <c r="AE15" s="42">
        <v>0.65625</v>
      </c>
      <c r="AF15" s="44">
        <v>0.9791666666666666</v>
      </c>
      <c r="AG15" s="45"/>
      <c r="AH15" s="4"/>
      <c r="AI15" s="45"/>
      <c r="AJ15" s="4"/>
      <c r="AK15" s="45"/>
      <c r="AL15" s="4"/>
      <c r="AM15" s="45"/>
      <c r="AN15" s="4"/>
      <c r="AO15" s="45"/>
      <c r="AP15" s="4"/>
      <c r="AQ15" s="45"/>
      <c r="AR15" s="4"/>
      <c r="AS15" s="45"/>
      <c r="AT15" s="4"/>
      <c r="AU15" s="45"/>
      <c r="AV15" s="4"/>
      <c r="AW15" s="45"/>
      <c r="AX15" s="4"/>
      <c r="AY15" s="45"/>
      <c r="AZ15" s="4"/>
      <c r="BA15" s="26" t="s">
        <v>9</v>
      </c>
      <c r="BB15" s="4"/>
      <c r="BC15" s="45"/>
      <c r="BD15" s="4"/>
      <c r="BE15" s="45"/>
      <c r="BF15" s="4"/>
      <c r="BG15" s="45"/>
      <c r="BH15" s="4"/>
      <c r="BI15" s="45"/>
      <c r="BJ15" s="4"/>
      <c r="BK15" s="26"/>
      <c r="BL15" s="4"/>
      <c r="BM15" s="23"/>
      <c r="BN15" s="23"/>
      <c r="BO15" s="23"/>
      <c r="BP15" s="23"/>
    </row>
    <row r="16" hidden="1">
      <c r="A16" s="24"/>
      <c r="B16" s="48" t="s">
        <v>20</v>
      </c>
      <c r="C16" s="26" t="s">
        <v>9</v>
      </c>
      <c r="D16" s="4"/>
      <c r="E16" s="26" t="s">
        <v>9</v>
      </c>
      <c r="F16" s="4"/>
      <c r="G16" s="26" t="s">
        <v>9</v>
      </c>
      <c r="H16" s="4"/>
      <c r="I16" s="26" t="s">
        <v>9</v>
      </c>
      <c r="J16" s="4"/>
      <c r="K16" s="26" t="s">
        <v>9</v>
      </c>
      <c r="L16" s="4"/>
      <c r="M16" s="26" t="s">
        <v>9</v>
      </c>
      <c r="N16" s="4"/>
      <c r="O16" s="26" t="s">
        <v>9</v>
      </c>
      <c r="P16" s="4"/>
      <c r="Q16" s="26" t="s">
        <v>9</v>
      </c>
      <c r="R16" s="4"/>
      <c r="S16" s="26" t="s">
        <v>9</v>
      </c>
      <c r="T16" s="4"/>
      <c r="U16" s="26" t="s">
        <v>9</v>
      </c>
      <c r="V16" s="4"/>
      <c r="W16" s="26" t="s">
        <v>9</v>
      </c>
      <c r="X16" s="4"/>
      <c r="Y16" s="26" t="s">
        <v>9</v>
      </c>
      <c r="Z16" s="4"/>
      <c r="AA16" s="36" t="s">
        <v>9</v>
      </c>
      <c r="AB16" s="37"/>
      <c r="AC16" s="26" t="s">
        <v>9</v>
      </c>
      <c r="AD16" s="4"/>
      <c r="AE16" s="26" t="s">
        <v>9</v>
      </c>
      <c r="AF16" s="4"/>
      <c r="AG16" s="45"/>
      <c r="AH16" s="4"/>
      <c r="AI16" s="45"/>
      <c r="AJ16" s="4"/>
      <c r="AK16" s="45"/>
      <c r="AL16" s="4"/>
      <c r="AM16" s="45"/>
      <c r="AN16" s="4"/>
      <c r="AO16" s="45"/>
      <c r="AP16" s="4"/>
      <c r="AQ16" s="45"/>
      <c r="AR16" s="4"/>
      <c r="AS16" s="45"/>
      <c r="AT16" s="4"/>
      <c r="AU16" s="45"/>
      <c r="AV16" s="4"/>
      <c r="AW16" s="45"/>
      <c r="AX16" s="4"/>
      <c r="AY16" s="45"/>
      <c r="AZ16" s="4"/>
      <c r="BA16" s="26" t="s">
        <v>9</v>
      </c>
      <c r="BB16" s="4"/>
      <c r="BC16" s="45"/>
      <c r="BD16" s="4"/>
      <c r="BE16" s="45"/>
      <c r="BF16" s="4"/>
      <c r="BG16" s="45"/>
      <c r="BH16" s="4"/>
      <c r="BI16" s="45"/>
      <c r="BJ16" s="4"/>
      <c r="BK16" s="26"/>
      <c r="BL16" s="4"/>
      <c r="BM16" s="23"/>
      <c r="BN16" s="23"/>
      <c r="BO16" s="23"/>
      <c r="BP16" s="23"/>
    </row>
    <row r="17">
      <c r="A17" s="24">
        <v>400487.0</v>
      </c>
      <c r="B17" s="25" t="s">
        <v>21</v>
      </c>
      <c r="C17" s="26" t="s">
        <v>9</v>
      </c>
      <c r="D17" s="4"/>
      <c r="E17" s="26" t="s">
        <v>9</v>
      </c>
      <c r="F17" s="4"/>
      <c r="G17" s="26" t="s">
        <v>9</v>
      </c>
      <c r="H17" s="4"/>
      <c r="I17" s="26" t="s">
        <v>9</v>
      </c>
      <c r="J17" s="4"/>
      <c r="K17" s="29">
        <v>0.6145833333333334</v>
      </c>
      <c r="L17" s="30">
        <v>0.9375</v>
      </c>
      <c r="M17" s="42">
        <v>0.65625</v>
      </c>
      <c r="N17" s="44">
        <v>0.9791666666666666</v>
      </c>
      <c r="O17" s="26" t="s">
        <v>9</v>
      </c>
      <c r="P17" s="4"/>
      <c r="Q17" s="26" t="s">
        <v>9</v>
      </c>
      <c r="R17" s="4"/>
      <c r="S17" s="26" t="s">
        <v>9</v>
      </c>
      <c r="T17" s="4"/>
      <c r="U17" s="26" t="s">
        <v>9</v>
      </c>
      <c r="V17" s="4"/>
      <c r="W17" s="26" t="s">
        <v>9</v>
      </c>
      <c r="X17" s="4"/>
      <c r="Y17" s="29">
        <v>0.6145833333333334</v>
      </c>
      <c r="Z17" s="30">
        <v>0.9375</v>
      </c>
      <c r="AA17" s="29">
        <v>0.6145833333333334</v>
      </c>
      <c r="AB17" s="30">
        <v>0.9375</v>
      </c>
      <c r="AC17" s="26" t="s">
        <v>9</v>
      </c>
      <c r="AD17" s="4"/>
      <c r="AE17" s="26" t="s">
        <v>9</v>
      </c>
      <c r="AF17" s="4"/>
      <c r="AG17" s="26" t="s">
        <v>9</v>
      </c>
      <c r="AH17" s="4"/>
      <c r="AI17" s="29">
        <v>0.6145833333333334</v>
      </c>
      <c r="AJ17" s="30">
        <v>0.9375</v>
      </c>
      <c r="AK17" s="26" t="s">
        <v>9</v>
      </c>
      <c r="AL17" s="4"/>
      <c r="AM17" s="26" t="s">
        <v>9</v>
      </c>
      <c r="AN17" s="4"/>
      <c r="AO17" s="26" t="s">
        <v>9</v>
      </c>
      <c r="AP17" s="4"/>
      <c r="AQ17" s="27">
        <v>0.2916666666666667</v>
      </c>
      <c r="AR17" s="28">
        <v>0.625</v>
      </c>
      <c r="AS17" s="26" t="s">
        <v>9</v>
      </c>
      <c r="AT17" s="4"/>
      <c r="AU17" s="26" t="s">
        <v>9</v>
      </c>
      <c r="AV17" s="4"/>
      <c r="AW17" s="26" t="s">
        <v>9</v>
      </c>
      <c r="AX17" s="4"/>
      <c r="AY17" s="26" t="s">
        <v>9</v>
      </c>
      <c r="AZ17" s="4"/>
      <c r="BA17" s="26" t="s">
        <v>9</v>
      </c>
      <c r="BB17" s="4"/>
      <c r="BC17" s="29">
        <v>0.6145833333333334</v>
      </c>
      <c r="BD17" s="30">
        <v>0.9375</v>
      </c>
      <c r="BE17" s="26" t="s">
        <v>9</v>
      </c>
      <c r="BF17" s="4"/>
      <c r="BG17" s="29">
        <v>0.6145833333333334</v>
      </c>
      <c r="BH17" s="30">
        <v>0.9375</v>
      </c>
      <c r="BI17" s="26" t="s">
        <v>9</v>
      </c>
      <c r="BJ17" s="4"/>
      <c r="BK17" s="26"/>
      <c r="BL17" s="4"/>
      <c r="BM17" s="23"/>
      <c r="BN17" s="23"/>
      <c r="BO17" s="23"/>
      <c r="BP17" s="23"/>
    </row>
    <row r="18">
      <c r="A18" s="34">
        <v>70622.0</v>
      </c>
      <c r="B18" s="35" t="s">
        <v>22</v>
      </c>
      <c r="C18" s="42">
        <v>0.65625</v>
      </c>
      <c r="D18" s="44">
        <v>0.9791666666666666</v>
      </c>
      <c r="E18" s="42">
        <v>0.65625</v>
      </c>
      <c r="F18" s="44">
        <v>0.9791666666666666</v>
      </c>
      <c r="G18" s="26" t="s">
        <v>9</v>
      </c>
      <c r="H18" s="4"/>
      <c r="I18" s="26" t="s">
        <v>9</v>
      </c>
      <c r="J18" s="4"/>
      <c r="K18" s="42">
        <v>0.4895833333333333</v>
      </c>
      <c r="L18" s="44">
        <v>0.9791666666666666</v>
      </c>
      <c r="M18" s="42">
        <v>0.3541666666666667</v>
      </c>
      <c r="N18" s="43">
        <v>0.6666666666666666</v>
      </c>
      <c r="O18" s="26" t="s">
        <v>9</v>
      </c>
      <c r="P18" s="4"/>
      <c r="Q18" s="26" t="s">
        <v>9</v>
      </c>
      <c r="R18" s="4"/>
      <c r="S18" s="31">
        <v>0.2916666666666667</v>
      </c>
      <c r="T18" s="32">
        <v>0.6666666666666666</v>
      </c>
      <c r="U18" s="42">
        <v>0.65625</v>
      </c>
      <c r="V18" s="44">
        <v>0.9791666666666666</v>
      </c>
      <c r="W18" s="42">
        <v>0.65625</v>
      </c>
      <c r="X18" s="44">
        <v>0.9791666666666666</v>
      </c>
      <c r="Y18" s="42">
        <v>0.65625</v>
      </c>
      <c r="Z18" s="44">
        <v>0.9791666666666666</v>
      </c>
      <c r="AA18" s="26" t="s">
        <v>9</v>
      </c>
      <c r="AB18" s="4"/>
      <c r="AC18" s="26" t="s">
        <v>9</v>
      </c>
      <c r="AD18" s="4"/>
      <c r="AE18" s="42">
        <v>0.65625</v>
      </c>
      <c r="AF18" s="44">
        <v>0.9791666666666666</v>
      </c>
      <c r="AG18" s="26" t="s">
        <v>9</v>
      </c>
      <c r="AH18" s="4"/>
      <c r="AI18" s="42">
        <v>0.65625</v>
      </c>
      <c r="AJ18" s="44">
        <v>0.9791666666666666</v>
      </c>
      <c r="AK18" s="27">
        <v>0.2916666666666667</v>
      </c>
      <c r="AL18" s="28">
        <v>0.625</v>
      </c>
      <c r="AM18" s="29">
        <v>0.6145833333333334</v>
      </c>
      <c r="AN18" s="30">
        <v>0.9375</v>
      </c>
      <c r="AO18" s="29">
        <v>0.6145833333333334</v>
      </c>
      <c r="AP18" s="30">
        <v>0.9375</v>
      </c>
      <c r="AQ18" s="26" t="s">
        <v>9</v>
      </c>
      <c r="AR18" s="4"/>
      <c r="AS18" s="42">
        <v>0.65625</v>
      </c>
      <c r="AT18" s="44">
        <v>0.9791666666666666</v>
      </c>
      <c r="AU18" s="26" t="s">
        <v>9</v>
      </c>
      <c r="AV18" s="4"/>
      <c r="AW18" s="26" t="s">
        <v>9</v>
      </c>
      <c r="AX18" s="4"/>
      <c r="AY18" s="42">
        <v>0.65625</v>
      </c>
      <c r="AZ18" s="44">
        <v>0.9791666666666666</v>
      </c>
      <c r="BA18" s="26" t="s">
        <v>9</v>
      </c>
      <c r="BB18" s="4"/>
      <c r="BC18" s="42">
        <v>0.65625</v>
      </c>
      <c r="BD18" s="44">
        <v>0.9791666666666666</v>
      </c>
      <c r="BE18" s="26" t="s">
        <v>9</v>
      </c>
      <c r="BF18" s="4"/>
      <c r="BG18" s="42">
        <v>0.65625</v>
      </c>
      <c r="BH18" s="44">
        <v>0.9791666666666666</v>
      </c>
      <c r="BI18" s="26" t="s">
        <v>9</v>
      </c>
      <c r="BJ18" s="4"/>
      <c r="BK18" s="26"/>
      <c r="BL18" s="4"/>
      <c r="BM18" s="23"/>
      <c r="BN18" s="23"/>
      <c r="BO18" s="23"/>
      <c r="BP18" s="23"/>
    </row>
    <row r="19">
      <c r="A19" s="34">
        <v>222556.0</v>
      </c>
      <c r="B19" s="48" t="s">
        <v>12</v>
      </c>
      <c r="C19" s="26" t="s">
        <v>9</v>
      </c>
      <c r="D19" s="4"/>
      <c r="E19" s="26" t="s">
        <v>9</v>
      </c>
      <c r="F19" s="4"/>
      <c r="G19" s="42">
        <v>0.65625</v>
      </c>
      <c r="H19" s="44">
        <v>0.9791666666666666</v>
      </c>
      <c r="I19" s="42">
        <v>0.65625</v>
      </c>
      <c r="J19" s="44">
        <v>0.9791666666666666</v>
      </c>
      <c r="K19" s="26" t="s">
        <v>9</v>
      </c>
      <c r="L19" s="4"/>
      <c r="M19" s="26" t="s">
        <v>9</v>
      </c>
      <c r="N19" s="4"/>
      <c r="O19" s="26" t="s">
        <v>9</v>
      </c>
      <c r="P19" s="4"/>
      <c r="Q19" s="42">
        <v>0.65625</v>
      </c>
      <c r="R19" s="44">
        <v>0.9791666666666666</v>
      </c>
      <c r="S19" s="26" t="s">
        <v>9</v>
      </c>
      <c r="T19" s="4"/>
      <c r="U19" s="42">
        <v>0.65625</v>
      </c>
      <c r="V19" s="44">
        <v>0.9791666666666666</v>
      </c>
      <c r="W19" s="26" t="s">
        <v>9</v>
      </c>
      <c r="X19" s="4"/>
      <c r="Y19" s="26" t="s">
        <v>9</v>
      </c>
      <c r="Z19" s="4"/>
      <c r="AA19" s="26" t="s">
        <v>9</v>
      </c>
      <c r="AB19" s="4"/>
      <c r="AC19" s="26" t="s">
        <v>9</v>
      </c>
      <c r="AD19" s="4"/>
      <c r="AE19" s="26" t="s">
        <v>9</v>
      </c>
      <c r="AF19" s="4"/>
      <c r="AG19" s="26" t="s">
        <v>9</v>
      </c>
      <c r="AH19" s="4"/>
      <c r="AI19" s="26" t="s">
        <v>9</v>
      </c>
      <c r="AJ19" s="4"/>
      <c r="AK19" s="26" t="s">
        <v>9</v>
      </c>
      <c r="AL19" s="4"/>
      <c r="AM19" s="26" t="s">
        <v>9</v>
      </c>
      <c r="AN19" s="4"/>
      <c r="AO19" s="26" t="s">
        <v>9</v>
      </c>
      <c r="AP19" s="4"/>
      <c r="AQ19" s="26" t="s">
        <v>9</v>
      </c>
      <c r="AR19" s="4"/>
      <c r="AS19" s="26" t="s">
        <v>9</v>
      </c>
      <c r="AT19" s="4"/>
      <c r="AU19" s="26" t="s">
        <v>9</v>
      </c>
      <c r="AV19" s="4"/>
      <c r="AW19" s="26" t="s">
        <v>9</v>
      </c>
      <c r="AX19" s="4"/>
      <c r="AY19" s="26" t="s">
        <v>9</v>
      </c>
      <c r="AZ19" s="4"/>
      <c r="BA19" s="26" t="s">
        <v>9</v>
      </c>
      <c r="BB19" s="4"/>
      <c r="BC19" s="26" t="s">
        <v>9</v>
      </c>
      <c r="BD19" s="4"/>
      <c r="BE19" s="26" t="s">
        <v>9</v>
      </c>
      <c r="BF19" s="4"/>
      <c r="BG19" s="26" t="s">
        <v>9</v>
      </c>
      <c r="BH19" s="4"/>
      <c r="BI19" s="42">
        <v>0.65625</v>
      </c>
      <c r="BJ19" s="44">
        <v>0.9791666666666666</v>
      </c>
      <c r="BK19" s="26"/>
      <c r="BL19" s="4"/>
      <c r="BM19" s="49"/>
      <c r="BN19" s="49"/>
      <c r="BO19" s="49"/>
      <c r="BP19" s="49"/>
    </row>
    <row r="20">
      <c r="A20" s="24">
        <v>909333.0</v>
      </c>
      <c r="B20" s="48" t="s">
        <v>23</v>
      </c>
      <c r="C20" s="26" t="s">
        <v>9</v>
      </c>
      <c r="D20" s="4"/>
      <c r="E20" s="26" t="s">
        <v>9</v>
      </c>
      <c r="F20" s="4"/>
      <c r="G20" s="26" t="s">
        <v>9</v>
      </c>
      <c r="H20" s="4"/>
      <c r="I20" s="26" t="s">
        <v>9</v>
      </c>
      <c r="J20" s="4"/>
      <c r="K20" s="27">
        <v>0.3541666666666667</v>
      </c>
      <c r="L20" s="28">
        <v>0.625</v>
      </c>
      <c r="M20" s="26" t="s">
        <v>9</v>
      </c>
      <c r="N20" s="4"/>
      <c r="O20" s="26" t="s">
        <v>9</v>
      </c>
      <c r="P20" s="4"/>
      <c r="Q20" s="26" t="s">
        <v>9</v>
      </c>
      <c r="R20" s="4"/>
      <c r="S20" s="26" t="s">
        <v>9</v>
      </c>
      <c r="T20" s="4"/>
      <c r="U20" s="26" t="s">
        <v>9</v>
      </c>
      <c r="V20" s="4"/>
      <c r="W20" s="26" t="s">
        <v>9</v>
      </c>
      <c r="X20" s="4"/>
      <c r="Y20" s="42">
        <v>0.3541666666666667</v>
      </c>
      <c r="Z20" s="43">
        <v>0.6666666666666666</v>
      </c>
      <c r="AA20" s="26" t="s">
        <v>9</v>
      </c>
      <c r="AB20" s="4"/>
      <c r="AC20" s="26" t="s">
        <v>9</v>
      </c>
      <c r="AD20" s="4"/>
      <c r="AE20" s="26" t="s">
        <v>9</v>
      </c>
      <c r="AF20" s="4"/>
      <c r="AG20" s="26" t="s">
        <v>9</v>
      </c>
      <c r="AH20" s="4"/>
      <c r="AI20" s="26" t="s">
        <v>9</v>
      </c>
      <c r="AJ20" s="4"/>
      <c r="AK20" s="26" t="s">
        <v>9</v>
      </c>
      <c r="AL20" s="4"/>
      <c r="AM20" s="26" t="s">
        <v>9</v>
      </c>
      <c r="AN20" s="4"/>
      <c r="AO20" s="26" t="s">
        <v>9</v>
      </c>
      <c r="AP20" s="4"/>
      <c r="AQ20" s="26" t="s">
        <v>9</v>
      </c>
      <c r="AR20" s="4"/>
      <c r="AS20" s="26" t="s">
        <v>9</v>
      </c>
      <c r="AT20" s="4"/>
      <c r="AU20" s="26" t="s">
        <v>9</v>
      </c>
      <c r="AV20" s="4"/>
      <c r="AW20" s="26" t="s">
        <v>9</v>
      </c>
      <c r="AX20" s="4"/>
      <c r="AY20" s="26" t="s">
        <v>9</v>
      </c>
      <c r="AZ20" s="4"/>
      <c r="BA20" s="26" t="s">
        <v>9</v>
      </c>
      <c r="BB20" s="4"/>
      <c r="BC20" s="26" t="s">
        <v>9</v>
      </c>
      <c r="BD20" s="4"/>
      <c r="BE20" s="26" t="s">
        <v>9</v>
      </c>
      <c r="BF20" s="4"/>
      <c r="BG20" s="26" t="s">
        <v>9</v>
      </c>
      <c r="BH20" s="4"/>
      <c r="BI20" s="26" t="s">
        <v>9</v>
      </c>
      <c r="BJ20" s="4"/>
      <c r="BK20" s="26"/>
      <c r="BL20" s="4"/>
      <c r="BM20" s="49"/>
      <c r="BN20" s="49"/>
      <c r="BO20" s="49"/>
      <c r="BP20" s="49"/>
    </row>
    <row r="21" hidden="1">
      <c r="A21" s="24"/>
      <c r="B21" s="48" t="s">
        <v>24</v>
      </c>
      <c r="C21" s="29">
        <v>0.6145833333333334</v>
      </c>
      <c r="D21" s="30">
        <v>0.9375</v>
      </c>
      <c r="E21" s="26" t="s">
        <v>9</v>
      </c>
      <c r="F21" s="4"/>
      <c r="G21" s="26" t="s">
        <v>9</v>
      </c>
      <c r="H21" s="4"/>
      <c r="I21" s="26" t="s">
        <v>9</v>
      </c>
      <c r="J21" s="4"/>
      <c r="K21" s="29">
        <v>0.6145833333333334</v>
      </c>
      <c r="L21" s="30">
        <v>0.9375</v>
      </c>
      <c r="M21" s="50" t="s">
        <v>9</v>
      </c>
      <c r="N21" s="51"/>
      <c r="O21" s="26" t="s">
        <v>9</v>
      </c>
      <c r="P21" s="4"/>
      <c r="Q21" s="26" t="s">
        <v>9</v>
      </c>
      <c r="R21" s="4"/>
      <c r="S21" s="27">
        <v>0.3541666666666667</v>
      </c>
      <c r="T21" s="28">
        <v>0.625</v>
      </c>
      <c r="U21" s="29">
        <v>0.6145833333333334</v>
      </c>
      <c r="V21" s="30">
        <v>0.9375</v>
      </c>
      <c r="W21" s="26" t="s">
        <v>9</v>
      </c>
      <c r="X21" s="4"/>
      <c r="Y21" s="29">
        <v>0.6145833333333334</v>
      </c>
      <c r="Z21" s="30">
        <v>0.9375</v>
      </c>
      <c r="AA21" s="26" t="s">
        <v>9</v>
      </c>
      <c r="AB21" s="4"/>
      <c r="AC21" s="26" t="s">
        <v>9</v>
      </c>
      <c r="AD21" s="4"/>
      <c r="AE21" s="26" t="s">
        <v>9</v>
      </c>
      <c r="AF21" s="4"/>
      <c r="AG21" s="45"/>
      <c r="AH21" s="4"/>
      <c r="AI21" s="45"/>
      <c r="AJ21" s="4"/>
      <c r="AK21" s="45"/>
      <c r="AL21" s="4"/>
      <c r="AM21" s="45"/>
      <c r="AN21" s="4"/>
      <c r="AO21" s="45"/>
      <c r="AP21" s="4"/>
      <c r="AQ21" s="45"/>
      <c r="AR21" s="4"/>
      <c r="AS21" s="45"/>
      <c r="AT21" s="4"/>
      <c r="AU21" s="45"/>
      <c r="AV21" s="4"/>
      <c r="AW21" s="45"/>
      <c r="AX21" s="4"/>
      <c r="AY21" s="45"/>
      <c r="AZ21" s="4"/>
      <c r="BA21" s="26" t="s">
        <v>9</v>
      </c>
      <c r="BB21" s="4"/>
      <c r="BC21" s="45"/>
      <c r="BD21" s="4"/>
      <c r="BE21" s="45"/>
      <c r="BF21" s="4"/>
      <c r="BG21" s="45"/>
      <c r="BH21" s="4"/>
      <c r="BI21" s="45"/>
      <c r="BJ21" s="4"/>
      <c r="BK21" s="26"/>
      <c r="BL21" s="4"/>
      <c r="BM21" s="49"/>
      <c r="BN21" s="49"/>
      <c r="BO21" s="49"/>
      <c r="BP21" s="49"/>
    </row>
    <row r="22">
      <c r="A22" s="24">
        <v>222114.0</v>
      </c>
      <c r="B22" s="48" t="s">
        <v>25</v>
      </c>
      <c r="C22" s="26" t="s">
        <v>9</v>
      </c>
      <c r="D22" s="4"/>
      <c r="E22" s="26" t="s">
        <v>9</v>
      </c>
      <c r="F22" s="4"/>
      <c r="G22" s="40">
        <v>0.4479166666666667</v>
      </c>
      <c r="H22" s="30">
        <v>0.9375</v>
      </c>
      <c r="I22" s="29">
        <v>0.6145833333333334</v>
      </c>
      <c r="J22" s="30">
        <v>0.9375</v>
      </c>
      <c r="K22" s="29">
        <v>0.6145833333333334</v>
      </c>
      <c r="L22" s="30">
        <v>0.9375</v>
      </c>
      <c r="M22" s="29">
        <v>0.6145833333333334</v>
      </c>
      <c r="N22" s="30">
        <v>0.9375</v>
      </c>
      <c r="O22" s="26" t="s">
        <v>9</v>
      </c>
      <c r="P22" s="4"/>
      <c r="Q22" s="27">
        <v>0.2916666666666667</v>
      </c>
      <c r="R22" s="28">
        <v>0.625</v>
      </c>
      <c r="S22" s="27">
        <v>0.2916666666666667</v>
      </c>
      <c r="T22" s="28">
        <v>0.625</v>
      </c>
      <c r="U22" s="27">
        <v>0.2916666666666667</v>
      </c>
      <c r="V22" s="28">
        <v>0.625</v>
      </c>
      <c r="W22" s="29">
        <v>0.6145833333333334</v>
      </c>
      <c r="X22" s="30">
        <v>0.9375</v>
      </c>
      <c r="Y22" s="26" t="s">
        <v>9</v>
      </c>
      <c r="Z22" s="4"/>
      <c r="AA22" s="27">
        <v>0.3541666666666667</v>
      </c>
      <c r="AB22" s="28">
        <v>0.625</v>
      </c>
      <c r="AC22" s="29">
        <v>0.6145833333333334</v>
      </c>
      <c r="AD22" s="30">
        <v>0.9375</v>
      </c>
      <c r="AE22" s="42">
        <v>0.65625</v>
      </c>
      <c r="AF22" s="44">
        <v>0.9791666666666666</v>
      </c>
      <c r="AG22" s="42">
        <v>0.65625</v>
      </c>
      <c r="AH22" s="44">
        <v>0.9791666666666666</v>
      </c>
      <c r="AI22" s="26" t="s">
        <v>9</v>
      </c>
      <c r="AJ22" s="4"/>
      <c r="AK22" s="27">
        <v>0.2916666666666667</v>
      </c>
      <c r="AL22" s="28">
        <v>0.625</v>
      </c>
      <c r="AM22" s="26" t="s">
        <v>9</v>
      </c>
      <c r="AN22" s="4"/>
      <c r="AO22" s="26" t="s">
        <v>9</v>
      </c>
      <c r="AP22" s="4"/>
      <c r="AQ22" s="26" t="s">
        <v>9</v>
      </c>
      <c r="AR22" s="4"/>
      <c r="AS22" s="29">
        <v>0.6145833333333334</v>
      </c>
      <c r="AT22" s="30">
        <v>0.9375</v>
      </c>
      <c r="AU22" s="29">
        <v>0.6145833333333334</v>
      </c>
      <c r="AV22" s="30">
        <v>0.9375</v>
      </c>
      <c r="AW22" s="29">
        <v>0.6145833333333334</v>
      </c>
      <c r="AX22" s="30">
        <v>0.9375</v>
      </c>
      <c r="AY22" s="29">
        <v>0.6145833333333334</v>
      </c>
      <c r="AZ22" s="30">
        <v>0.9375</v>
      </c>
      <c r="BA22" s="26" t="s">
        <v>9</v>
      </c>
      <c r="BB22" s="4"/>
      <c r="BC22" s="26" t="s">
        <v>9</v>
      </c>
      <c r="BD22" s="4"/>
      <c r="BE22" s="29">
        <v>0.6145833333333334</v>
      </c>
      <c r="BF22" s="30">
        <v>0.9375</v>
      </c>
      <c r="BG22" s="42">
        <v>0.65625</v>
      </c>
      <c r="BH22" s="44">
        <v>0.9791666666666666</v>
      </c>
      <c r="BI22" s="27">
        <v>0.2916666666666667</v>
      </c>
      <c r="BJ22" s="28">
        <v>0.625</v>
      </c>
      <c r="BK22" s="26"/>
      <c r="BL22" s="4"/>
      <c r="BM22" s="52"/>
      <c r="BN22" s="52"/>
      <c r="BO22" s="52"/>
      <c r="BP22" s="52"/>
    </row>
    <row r="23" hidden="1">
      <c r="A23" s="53">
        <v>400476.0</v>
      </c>
      <c r="B23" s="48" t="s">
        <v>26</v>
      </c>
      <c r="C23" s="26" t="s">
        <v>9</v>
      </c>
      <c r="D23" s="4"/>
      <c r="E23" s="26" t="s">
        <v>9</v>
      </c>
      <c r="F23" s="4"/>
      <c r="G23" s="26" t="s">
        <v>9</v>
      </c>
      <c r="H23" s="4"/>
      <c r="I23" s="31">
        <v>0.2916666666666667</v>
      </c>
      <c r="J23" s="32">
        <v>0.6666666666666666</v>
      </c>
      <c r="K23" s="29">
        <v>0.2916666666666667</v>
      </c>
      <c r="L23" s="30">
        <v>0.625</v>
      </c>
      <c r="M23" s="26" t="s">
        <v>9</v>
      </c>
      <c r="N23" s="4"/>
      <c r="O23" s="29">
        <v>0.2916666666666667</v>
      </c>
      <c r="P23" s="30">
        <v>0.625</v>
      </c>
      <c r="Q23" s="42">
        <v>0.3541666666666667</v>
      </c>
      <c r="R23" s="43">
        <v>0.6666666666666666</v>
      </c>
      <c r="S23" s="26" t="s">
        <v>9</v>
      </c>
      <c r="T23" s="4"/>
      <c r="U23" s="26" t="s">
        <v>9</v>
      </c>
      <c r="V23" s="4"/>
      <c r="W23" s="31">
        <v>0.2916666666666667</v>
      </c>
      <c r="X23" s="32">
        <v>0.6666666666666666</v>
      </c>
      <c r="Y23" s="29">
        <v>0.2916666666666667</v>
      </c>
      <c r="Z23" s="30">
        <v>0.625</v>
      </c>
      <c r="AA23" s="26" t="s">
        <v>9</v>
      </c>
      <c r="AB23" s="4"/>
      <c r="AC23" s="29">
        <v>0.2916666666666667</v>
      </c>
      <c r="AD23" s="30">
        <v>0.625</v>
      </c>
      <c r="AE23" s="42">
        <v>0.3541666666666667</v>
      </c>
      <c r="AF23" s="43">
        <v>0.6666666666666666</v>
      </c>
      <c r="AG23" s="45"/>
      <c r="AH23" s="4"/>
      <c r="AI23" s="45"/>
      <c r="AJ23" s="4"/>
      <c r="AK23" s="45"/>
      <c r="AL23" s="4"/>
      <c r="AM23" s="45"/>
      <c r="AN23" s="4"/>
      <c r="AO23" s="45"/>
      <c r="AP23" s="4"/>
      <c r="AQ23" s="45"/>
      <c r="AR23" s="4"/>
      <c r="AS23" s="45"/>
      <c r="AT23" s="4"/>
      <c r="AU23" s="45"/>
      <c r="AV23" s="4"/>
      <c r="AW23" s="45"/>
      <c r="AX23" s="4"/>
      <c r="AY23" s="45"/>
      <c r="AZ23" s="4"/>
      <c r="BA23" s="26" t="s">
        <v>9</v>
      </c>
      <c r="BB23" s="4"/>
      <c r="BC23" s="26" t="s">
        <v>9</v>
      </c>
      <c r="BD23" s="4"/>
      <c r="BE23" s="45"/>
      <c r="BF23" s="4"/>
      <c r="BG23" s="45"/>
      <c r="BH23" s="4"/>
      <c r="BI23" s="45"/>
      <c r="BJ23" s="4"/>
      <c r="BK23" s="26"/>
      <c r="BL23" s="4"/>
      <c r="BM23" s="53"/>
      <c r="BN23" s="53"/>
      <c r="BO23" s="53"/>
      <c r="BP23" s="53"/>
    </row>
    <row r="24">
      <c r="A24" s="53"/>
      <c r="B24" s="48" t="s">
        <v>27</v>
      </c>
      <c r="C24" s="29">
        <v>0.6145833333333334</v>
      </c>
      <c r="D24" s="30">
        <v>0.9375</v>
      </c>
      <c r="E24" s="40">
        <v>0.3333333333333333</v>
      </c>
      <c r="F24" s="41">
        <v>0.8125</v>
      </c>
      <c r="G24" s="26" t="s">
        <v>9</v>
      </c>
      <c r="H24" s="4"/>
      <c r="I24" s="27">
        <v>0.2916666666666667</v>
      </c>
      <c r="J24" s="28">
        <v>0.625</v>
      </c>
      <c r="K24" s="26" t="s">
        <v>9</v>
      </c>
      <c r="L24" s="4"/>
      <c r="M24" s="27">
        <v>0.3541666666666667</v>
      </c>
      <c r="N24" s="28">
        <v>0.625</v>
      </c>
      <c r="O24" s="27">
        <v>0.2916666666666667</v>
      </c>
      <c r="P24" s="28">
        <v>0.625</v>
      </c>
      <c r="Q24" s="29">
        <v>0.6145833333333334</v>
      </c>
      <c r="R24" s="30">
        <v>0.9375</v>
      </c>
      <c r="S24" s="26" t="s">
        <v>9</v>
      </c>
      <c r="T24" s="4"/>
      <c r="U24" s="31">
        <v>0.2916666666666667</v>
      </c>
      <c r="V24" s="32">
        <v>0.6666666666666666</v>
      </c>
      <c r="W24" s="27">
        <v>0.2916666666666667</v>
      </c>
      <c r="X24" s="28">
        <v>0.625</v>
      </c>
      <c r="Y24" s="40">
        <v>0.4479166666666667</v>
      </c>
      <c r="Z24" s="30">
        <v>0.9375</v>
      </c>
      <c r="AA24" s="29">
        <v>0.6145833333333334</v>
      </c>
      <c r="AB24" s="30">
        <v>0.9375</v>
      </c>
      <c r="AC24" s="26" t="s">
        <v>9</v>
      </c>
      <c r="AD24" s="4"/>
      <c r="AE24" s="26" t="s">
        <v>9</v>
      </c>
      <c r="AF24" s="4"/>
      <c r="AG24" s="27">
        <v>0.2916666666666667</v>
      </c>
      <c r="AH24" s="28">
        <v>0.625</v>
      </c>
      <c r="AI24" s="26" t="s">
        <v>9</v>
      </c>
      <c r="AJ24" s="4"/>
      <c r="AK24" s="26" t="s">
        <v>9</v>
      </c>
      <c r="AL24" s="4"/>
      <c r="AM24" s="27">
        <v>0.3541666666666667</v>
      </c>
      <c r="AN24" s="28">
        <v>0.625</v>
      </c>
      <c r="AO24" s="27">
        <v>0.3541666666666667</v>
      </c>
      <c r="AP24" s="28">
        <v>0.625</v>
      </c>
      <c r="AQ24" s="40">
        <v>0.3333333333333333</v>
      </c>
      <c r="AR24" s="41">
        <v>0.8125</v>
      </c>
      <c r="AS24" s="26" t="s">
        <v>9</v>
      </c>
      <c r="AT24" s="4"/>
      <c r="AU24" s="31">
        <v>0.2916666666666667</v>
      </c>
      <c r="AV24" s="32">
        <v>0.6666666666666666</v>
      </c>
      <c r="AW24" s="27">
        <v>0.2916666666666667</v>
      </c>
      <c r="AX24" s="28">
        <v>0.625</v>
      </c>
      <c r="AY24" s="27">
        <v>0.2916666666666667</v>
      </c>
      <c r="AZ24" s="28">
        <v>0.625</v>
      </c>
      <c r="BA24" s="26" t="s">
        <v>9</v>
      </c>
      <c r="BB24" s="4"/>
      <c r="BC24" s="26" t="s">
        <v>9</v>
      </c>
      <c r="BD24" s="4"/>
      <c r="BE24" s="27">
        <v>0.2916666666666667</v>
      </c>
      <c r="BF24" s="28">
        <v>0.625</v>
      </c>
      <c r="BG24" s="26" t="s">
        <v>9</v>
      </c>
      <c r="BH24" s="4"/>
      <c r="BI24" s="26" t="s">
        <v>9</v>
      </c>
      <c r="BJ24" s="4"/>
      <c r="BK24" s="26"/>
      <c r="BL24" s="4"/>
      <c r="BM24" s="53"/>
      <c r="BN24" s="53"/>
      <c r="BO24" s="53"/>
      <c r="BP24" s="53"/>
    </row>
    <row r="25">
      <c r="A25" s="53"/>
      <c r="B25" s="48" t="s">
        <v>28</v>
      </c>
      <c r="C25" s="31">
        <v>0.2916666666666667</v>
      </c>
      <c r="D25" s="32">
        <v>0.6666666666666666</v>
      </c>
      <c r="E25" s="31">
        <v>0.2916666666666667</v>
      </c>
      <c r="F25" s="32">
        <v>0.6666666666666666</v>
      </c>
      <c r="G25" s="27">
        <v>0.2916666666666667</v>
      </c>
      <c r="H25" s="28">
        <v>0.625</v>
      </c>
      <c r="I25" s="26" t="s">
        <v>9</v>
      </c>
      <c r="J25" s="4"/>
      <c r="K25" s="27">
        <v>0.3541666666666667</v>
      </c>
      <c r="L25" s="28">
        <v>0.625</v>
      </c>
      <c r="M25" s="29">
        <v>0.6145833333333334</v>
      </c>
      <c r="N25" s="30">
        <v>0.9375</v>
      </c>
      <c r="O25" s="42">
        <v>0.65625</v>
      </c>
      <c r="P25" s="44">
        <v>0.9791666666666666</v>
      </c>
      <c r="Q25" s="26" t="s">
        <v>9</v>
      </c>
      <c r="R25" s="4"/>
      <c r="S25" s="29">
        <v>0.6145833333333334</v>
      </c>
      <c r="T25" s="30">
        <v>0.9375</v>
      </c>
      <c r="U25" s="29">
        <v>0.6145833333333334</v>
      </c>
      <c r="V25" s="30">
        <v>0.9375</v>
      </c>
      <c r="W25" s="42">
        <v>0.65625</v>
      </c>
      <c r="X25" s="44">
        <v>0.9791666666666666</v>
      </c>
      <c r="Y25" s="26" t="s">
        <v>9</v>
      </c>
      <c r="Z25" s="4"/>
      <c r="AA25" s="27">
        <v>0.3541666666666667</v>
      </c>
      <c r="AB25" s="28">
        <v>0.625</v>
      </c>
      <c r="AC25" s="27">
        <v>0.2916666666666667</v>
      </c>
      <c r="AD25" s="28">
        <v>0.625</v>
      </c>
      <c r="AE25" s="27">
        <v>0.2916666666666667</v>
      </c>
      <c r="AF25" s="28">
        <v>0.625</v>
      </c>
      <c r="AG25" s="29">
        <v>0.6145833333333334</v>
      </c>
      <c r="AH25" s="30">
        <v>0.9375</v>
      </c>
      <c r="AI25" s="26" t="s">
        <v>9</v>
      </c>
      <c r="AJ25" s="4"/>
      <c r="AK25" s="26" t="s">
        <v>9</v>
      </c>
      <c r="AL25" s="4"/>
      <c r="AM25" s="26" t="s">
        <v>9</v>
      </c>
      <c r="AN25" s="4"/>
      <c r="AO25" s="29">
        <v>0.6145833333333334</v>
      </c>
      <c r="AP25" s="30">
        <v>0.9375</v>
      </c>
      <c r="AQ25" s="26" t="s">
        <v>9</v>
      </c>
      <c r="AR25" s="4"/>
      <c r="AS25" s="27">
        <v>0.2916666666666667</v>
      </c>
      <c r="AT25" s="28">
        <v>0.625</v>
      </c>
      <c r="AU25" s="27">
        <v>0.2916666666666667</v>
      </c>
      <c r="AV25" s="28">
        <v>0.625</v>
      </c>
      <c r="AW25" s="31">
        <v>0.2916666666666667</v>
      </c>
      <c r="AX25" s="32">
        <v>0.6666666666666666</v>
      </c>
      <c r="AY25" s="31">
        <v>0.2916666666666667</v>
      </c>
      <c r="AZ25" s="32">
        <v>0.6666666666666666</v>
      </c>
      <c r="BA25" s="26" t="s">
        <v>9</v>
      </c>
      <c r="BB25" s="4"/>
      <c r="BC25" s="26" t="s">
        <v>9</v>
      </c>
      <c r="BD25" s="4"/>
      <c r="BE25" s="31">
        <v>0.2916666666666667</v>
      </c>
      <c r="BF25" s="32">
        <v>0.6666666666666666</v>
      </c>
      <c r="BG25" s="27">
        <v>0.2916666666666667</v>
      </c>
      <c r="BH25" s="28">
        <v>0.625</v>
      </c>
      <c r="BI25" s="26" t="s">
        <v>9</v>
      </c>
      <c r="BJ25" s="4"/>
      <c r="BK25" s="26"/>
      <c r="BL25" s="4"/>
      <c r="BM25" s="53"/>
      <c r="BN25" s="53"/>
      <c r="BO25" s="53"/>
      <c r="BP25" s="53"/>
    </row>
    <row r="26">
      <c r="A26" s="53"/>
      <c r="B26" s="48"/>
      <c r="C26" s="54"/>
      <c r="D26" s="55"/>
      <c r="E26" s="56"/>
      <c r="F26" s="57"/>
      <c r="G26" s="58"/>
      <c r="H26" s="58"/>
      <c r="I26" s="59"/>
      <c r="J26" s="60"/>
      <c r="K26" s="59"/>
      <c r="L26" s="60"/>
      <c r="M26" s="59"/>
      <c r="N26" s="60"/>
      <c r="O26" s="58"/>
      <c r="P26" s="58"/>
      <c r="Q26" s="59"/>
      <c r="R26" s="60"/>
      <c r="S26" s="56"/>
      <c r="T26" s="57"/>
      <c r="U26" s="58"/>
      <c r="V26" s="58"/>
      <c r="W26" s="56"/>
      <c r="X26" s="57"/>
      <c r="Y26" s="59"/>
      <c r="Z26" s="60"/>
      <c r="AA26" s="58"/>
      <c r="AB26" s="58"/>
      <c r="AC26" s="61"/>
      <c r="AD26" s="62"/>
      <c r="AE26" s="58"/>
      <c r="AF26" s="58"/>
      <c r="AG26" s="58"/>
      <c r="AH26" s="58"/>
      <c r="AI26" s="58"/>
      <c r="AJ26" s="58"/>
      <c r="AK26" s="63"/>
      <c r="AL26" s="64"/>
      <c r="AM26" s="59"/>
      <c r="AN26" s="60"/>
      <c r="AO26" s="59"/>
      <c r="AP26" s="60"/>
      <c r="AQ26" s="59"/>
      <c r="AR26" s="65"/>
      <c r="AS26" s="58"/>
      <c r="AT26" s="58"/>
      <c r="AU26" s="58"/>
      <c r="AV26" s="58"/>
      <c r="AW26" s="58"/>
      <c r="AX26" s="58"/>
      <c r="AY26" s="63"/>
      <c r="AZ26" s="64"/>
      <c r="BA26" s="59"/>
      <c r="BB26" s="60"/>
      <c r="BC26" s="59"/>
      <c r="BD26" s="65"/>
      <c r="BE26" s="59"/>
      <c r="BF26" s="60"/>
      <c r="BG26" s="58"/>
      <c r="BH26" s="58"/>
      <c r="BI26" s="59"/>
      <c r="BJ26" s="60"/>
      <c r="BK26" s="58"/>
      <c r="BL26" s="58"/>
      <c r="BM26" s="53"/>
      <c r="BN26" s="53"/>
      <c r="BO26" s="53"/>
      <c r="BP26" s="53"/>
    </row>
    <row r="27">
      <c r="A27" s="24"/>
      <c r="B27" s="25" t="s">
        <v>8</v>
      </c>
      <c r="C27" s="66" t="str">
        <f t="shared" ref="C27:C29" si="1">IF(OR(ISBLANK(D4), ISBLANK(C4)), "", D4-C4)</f>
        <v/>
      </c>
      <c r="D27" s="4"/>
      <c r="E27" s="66" t="str">
        <f t="shared" ref="E27:E29" si="2">IF(OR(ISBLANK(F4), ISBLANK(E4)), "", F4-E4)</f>
        <v/>
      </c>
      <c r="F27" s="4"/>
      <c r="G27" s="66" t="str">
        <f t="shared" ref="G27:G29" si="3">IF(OR(ISBLANK(H4), ISBLANK(G4)), "", H4-G4)</f>
        <v/>
      </c>
      <c r="H27" s="4"/>
      <c r="I27" s="66" t="str">
        <f t="shared" ref="I27:I29" si="4">IF(OR(ISBLANK(J4), ISBLANK(I4)), "", J4-I4)</f>
        <v/>
      </c>
      <c r="J27" s="4"/>
      <c r="K27" s="66" t="str">
        <f t="shared" ref="K27:K29" si="5">IF(OR(ISBLANK(L4), ISBLANK(K4)), "", L4-K4)</f>
        <v/>
      </c>
      <c r="L27" s="4"/>
      <c r="M27" s="66" t="str">
        <f t="shared" ref="M27:M29" si="6">IF(OR(ISBLANK(N4), ISBLANK(M4)), "", N4-M4)</f>
        <v/>
      </c>
      <c r="N27" s="4"/>
      <c r="O27" s="66" t="str">
        <f t="shared" ref="O27:O29" si="7">IF(OR(ISBLANK(P4), ISBLANK(O4)), "", P4-O4)</f>
        <v/>
      </c>
      <c r="P27" s="4"/>
      <c r="Q27" s="66" t="str">
        <f t="shared" ref="Q27:Q29" si="8">IF(OR(ISBLANK(R4), ISBLANK(Q4)), "", R4-Q4)</f>
        <v/>
      </c>
      <c r="R27" s="4"/>
      <c r="S27" s="66" t="str">
        <f t="shared" ref="S27:S29" si="9">IF(OR(ISBLANK(T4), ISBLANK(S4)), "", T4-S4)</f>
        <v/>
      </c>
      <c r="T27" s="4"/>
      <c r="U27" s="66" t="str">
        <f t="shared" ref="U27:U29" si="10">IF(OR(ISBLANK(V4), ISBLANK(U4)), "", V4-U4)</f>
        <v/>
      </c>
      <c r="V27" s="4"/>
      <c r="W27" s="66" t="str">
        <f t="shared" ref="W27:W29" si="11">IF(OR(ISBLANK(X4), ISBLANK(W4)), "", X4-W4)</f>
        <v/>
      </c>
      <c r="X27" s="4"/>
      <c r="Y27" s="66" t="str">
        <f t="shared" ref="Y27:Y29" si="12">IF(OR(ISBLANK(Z4), ISBLANK(Y4)), "", Z4-Y4)</f>
        <v/>
      </c>
      <c r="Z27" s="4"/>
      <c r="AA27" s="66" t="str">
        <f t="shared" ref="AA27:AA29" si="13">IF(OR(ISBLANK(AB4), ISBLANK(AA4)), "", AB4-AA4)</f>
        <v/>
      </c>
      <c r="AB27" s="4"/>
      <c r="AC27" s="66" t="str">
        <f t="shared" ref="AC27:AC29" si="14">IF(OR(ISBLANK(AD4), ISBLANK(AC4)), "", AD4-AC4)</f>
        <v/>
      </c>
      <c r="AD27" s="4"/>
      <c r="AE27" s="66" t="str">
        <f t="shared" ref="AE27:AE29" si="15">IF(OR(ISBLANK(AF4), ISBLANK(AE4)), "", AF4-AE4)</f>
        <v/>
      </c>
      <c r="AF27" s="4"/>
      <c r="AG27" s="66" t="str">
        <f t="shared" ref="AG27:AG29" si="16">IF(OR(ISBLANK(AH4), ISBLANK(AG4)), "", AH4-AG4)</f>
        <v/>
      </c>
      <c r="AH27" s="4"/>
      <c r="AI27" s="66" t="str">
        <f t="shared" ref="AI27:AI29" si="17">IF(OR(ISBLANK(AJ4), ISBLANK(AI4)), "", AJ4-AI4)</f>
        <v/>
      </c>
      <c r="AJ27" s="4"/>
      <c r="AK27" s="66" t="str">
        <f t="shared" ref="AK27:AK29" si="18">IF(OR(ISBLANK(AL4), ISBLANK(AK4)), "", AL4-AK4)</f>
        <v/>
      </c>
      <c r="AL27" s="4"/>
      <c r="AM27" s="66" t="str">
        <f t="shared" ref="AM27:AM29" si="19">IF(OR(ISBLANK(AN4), ISBLANK(AM4)), "", AN4-AM4)</f>
        <v/>
      </c>
      <c r="AN27" s="4"/>
      <c r="AO27" s="66" t="str">
        <f t="shared" ref="AO27:AO29" si="20">IF(OR(ISBLANK(AP4), ISBLANK(AO4)), "", AP4-AO4)</f>
        <v/>
      </c>
      <c r="AP27" s="4"/>
      <c r="AQ27" s="66" t="str">
        <f t="shared" ref="AQ27:AQ29" si="21">IF(OR(ISBLANK(AR4), ISBLANK(AQ4)), "", AR4-AQ4)</f>
        <v/>
      </c>
      <c r="AR27" s="4"/>
      <c r="AS27" s="66" t="str">
        <f t="shared" ref="AS27:AS29" si="22">IF(OR(ISBLANK(AT4), ISBLANK(AS4)), "", AT4-AS4)</f>
        <v/>
      </c>
      <c r="AT27" s="4"/>
      <c r="AU27" s="66" t="str">
        <f t="shared" ref="AU27:AU29" si="23">IF(OR(ISBLANK(AV4), ISBLANK(AU4)), "", AV4-AU4)</f>
        <v/>
      </c>
      <c r="AV27" s="4"/>
      <c r="AW27" s="66" t="str">
        <f t="shared" ref="AW27:AW29" si="24">IF(OR(ISBLANK(AX4), ISBLANK(AW4)), "", AX4-AW4)</f>
        <v/>
      </c>
      <c r="AX27" s="4"/>
      <c r="AY27" s="66" t="str">
        <f t="shared" ref="AY27:AY29" si="25">IF(OR(ISBLANK(AZ4), ISBLANK(AY4)), "", AZ4-AY4)</f>
        <v/>
      </c>
      <c r="AZ27" s="4"/>
      <c r="BA27" s="66" t="str">
        <f t="shared" ref="BA27:BA29" si="26">IF(OR(ISBLANK(BB4), ISBLANK(BA4)), "", BB4-BA4)</f>
        <v/>
      </c>
      <c r="BB27" s="4"/>
      <c r="BC27" s="66" t="str">
        <f t="shared" ref="BC27:BC29" si="27">IF(OR(ISBLANK(BD4), ISBLANK(BC4)), "", BD4-BC4)</f>
        <v/>
      </c>
      <c r="BD27" s="4"/>
      <c r="BE27" s="66" t="str">
        <f t="shared" ref="BE27:BE29" si="28">IF(OR(ISBLANK(BF4), ISBLANK(BE4)), "", BF4-BE4)</f>
        <v/>
      </c>
      <c r="BF27" s="4"/>
      <c r="BG27" s="66" t="str">
        <f t="shared" ref="BG27:BG29" si="29">IF(OR(ISBLANK(BH4), ISBLANK(BG4)), "", BH4-BG4)</f>
        <v/>
      </c>
      <c r="BH27" s="4"/>
      <c r="BI27" s="66" t="str">
        <f t="shared" ref="BI27:BI29" si="30">IF(OR(ISBLANK(BJ4), ISBLANK(BI4)), "", BJ4-BI4)</f>
        <v/>
      </c>
      <c r="BJ27" s="4"/>
      <c r="BK27" s="66" t="str">
        <f t="shared" ref="BK27:BK29" si="31">IF(OR(ISBLANK(BL4), ISBLANK(BK4)), "", BL4-BK4)</f>
        <v/>
      </c>
      <c r="BL27" s="4"/>
      <c r="BM27" s="67"/>
      <c r="BN27" s="67"/>
      <c r="BO27" s="67"/>
      <c r="BP27" s="67">
        <f>SUM(C27:BJ27)</f>
        <v>0</v>
      </c>
    </row>
    <row r="28" hidden="1">
      <c r="A28" s="24"/>
      <c r="B28" s="25" t="s">
        <v>10</v>
      </c>
      <c r="C28" s="68">
        <f t="shared" si="1"/>
        <v>0.2708333333</v>
      </c>
      <c r="D28" s="4"/>
      <c r="E28" s="66" t="str">
        <f t="shared" si="2"/>
        <v/>
      </c>
      <c r="F28" s="4"/>
      <c r="G28" s="68">
        <f t="shared" si="3"/>
        <v>0.3333333333</v>
      </c>
      <c r="H28" s="4"/>
      <c r="I28" s="68">
        <f t="shared" si="4"/>
        <v>0.3333333333</v>
      </c>
      <c r="J28" s="4"/>
      <c r="K28" s="66" t="str">
        <f t="shared" si="5"/>
        <v/>
      </c>
      <c r="L28" s="4"/>
      <c r="M28" s="68">
        <f t="shared" si="6"/>
        <v>0.3333333333</v>
      </c>
      <c r="N28" s="4"/>
      <c r="O28" s="68">
        <f t="shared" si="7"/>
        <v>0.375</v>
      </c>
      <c r="P28" s="4"/>
      <c r="Q28" s="68">
        <f t="shared" si="8"/>
        <v>0.2708333333</v>
      </c>
      <c r="R28" s="4"/>
      <c r="S28" s="66" t="str">
        <f t="shared" si="9"/>
        <v/>
      </c>
      <c r="T28" s="4"/>
      <c r="U28" s="68">
        <f t="shared" si="10"/>
        <v>0.3333333333</v>
      </c>
      <c r="V28" s="4"/>
      <c r="W28" s="68">
        <f t="shared" si="11"/>
        <v>0.3333333333</v>
      </c>
      <c r="X28" s="4"/>
      <c r="Y28" s="66" t="str">
        <f t="shared" si="12"/>
        <v/>
      </c>
      <c r="Z28" s="4"/>
      <c r="AA28" s="68">
        <f t="shared" si="13"/>
        <v>0.3333333333</v>
      </c>
      <c r="AB28" s="4"/>
      <c r="AC28" s="68">
        <f t="shared" si="14"/>
        <v>0.375</v>
      </c>
      <c r="AD28" s="4"/>
      <c r="AE28" s="68">
        <f t="shared" si="15"/>
        <v>0.2708333333</v>
      </c>
      <c r="AF28" s="4"/>
      <c r="AG28" s="66" t="str">
        <f t="shared" si="16"/>
        <v/>
      </c>
      <c r="AH28" s="4"/>
      <c r="AI28" s="68">
        <f t="shared" si="17"/>
        <v>0.3333333333</v>
      </c>
      <c r="AJ28" s="4"/>
      <c r="AK28" s="68">
        <f t="shared" si="18"/>
        <v>0.3333333333</v>
      </c>
      <c r="AL28" s="4"/>
      <c r="AM28" s="66" t="str">
        <f t="shared" si="19"/>
        <v/>
      </c>
      <c r="AN28" s="4"/>
      <c r="AO28" s="68">
        <f t="shared" si="20"/>
        <v>0.3333333333</v>
      </c>
      <c r="AP28" s="4"/>
      <c r="AQ28" s="68">
        <f t="shared" si="21"/>
        <v>0.375</v>
      </c>
      <c r="AR28" s="4"/>
      <c r="AS28" s="68">
        <f t="shared" si="22"/>
        <v>0.2708333333</v>
      </c>
      <c r="AT28" s="4"/>
      <c r="AU28" s="66" t="str">
        <f t="shared" si="23"/>
        <v/>
      </c>
      <c r="AV28" s="4"/>
      <c r="AW28" s="68">
        <f t="shared" si="24"/>
        <v>0.3333333333</v>
      </c>
      <c r="AX28" s="4"/>
      <c r="AY28" s="68">
        <f t="shared" si="25"/>
        <v>0.3333333333</v>
      </c>
      <c r="AZ28" s="4"/>
      <c r="BA28" s="66" t="str">
        <f t="shared" si="26"/>
        <v/>
      </c>
      <c r="BB28" s="4"/>
      <c r="BC28" s="68">
        <f t="shared" si="27"/>
        <v>0.3333333333</v>
      </c>
      <c r="BD28" s="4"/>
      <c r="BE28" s="68">
        <f t="shared" si="28"/>
        <v>0.375</v>
      </c>
      <c r="BF28" s="4"/>
      <c r="BG28" s="68">
        <f t="shared" si="29"/>
        <v>0.2708333333</v>
      </c>
      <c r="BH28" s="4"/>
      <c r="BI28" s="66" t="str">
        <f t="shared" si="30"/>
        <v/>
      </c>
      <c r="BJ28" s="4"/>
      <c r="BK28" s="68">
        <f t="shared" si="31"/>
        <v>0.3333333333</v>
      </c>
      <c r="BL28" s="4"/>
      <c r="BM28" s="67"/>
      <c r="BN28" s="67"/>
      <c r="BO28" s="67"/>
      <c r="BP28" s="67">
        <f>SUM(C28:BL28)</f>
        <v>7.1875</v>
      </c>
    </row>
    <row r="29">
      <c r="A29" s="24"/>
      <c r="B29" s="25" t="s">
        <v>11</v>
      </c>
      <c r="C29" s="68">
        <f t="shared" si="1"/>
        <v>0.3333333333</v>
      </c>
      <c r="D29" s="4"/>
      <c r="E29" s="66" t="str">
        <f t="shared" si="2"/>
        <v/>
      </c>
      <c r="F29" s="4"/>
      <c r="G29" s="66" t="str">
        <f t="shared" si="3"/>
        <v/>
      </c>
      <c r="H29" s="4"/>
      <c r="I29" s="66" t="str">
        <f t="shared" si="4"/>
        <v/>
      </c>
      <c r="J29" s="4"/>
      <c r="K29" s="66" t="str">
        <f t="shared" si="5"/>
        <v/>
      </c>
      <c r="L29" s="4"/>
      <c r="M29" s="66" t="str">
        <f t="shared" si="6"/>
        <v/>
      </c>
      <c r="N29" s="4"/>
      <c r="O29" s="66" t="str">
        <f t="shared" si="7"/>
        <v/>
      </c>
      <c r="P29" s="4"/>
      <c r="Q29" s="68">
        <f t="shared" si="8"/>
        <v>0.375</v>
      </c>
      <c r="R29" s="4"/>
      <c r="S29" s="69" t="str">
        <f t="shared" si="9"/>
        <v/>
      </c>
      <c r="T29" s="4"/>
      <c r="U29" s="66" t="str">
        <f t="shared" si="10"/>
        <v/>
      </c>
      <c r="V29" s="4"/>
      <c r="W29" s="66" t="str">
        <f t="shared" si="11"/>
        <v/>
      </c>
      <c r="X29" s="4"/>
      <c r="Y29" s="66" t="str">
        <f t="shared" si="12"/>
        <v/>
      </c>
      <c r="Z29" s="4"/>
      <c r="AA29" s="66" t="str">
        <f t="shared" si="13"/>
        <v/>
      </c>
      <c r="AB29" s="4"/>
      <c r="AC29" s="66" t="str">
        <f t="shared" si="14"/>
        <v/>
      </c>
      <c r="AD29" s="4"/>
      <c r="AE29" s="68">
        <f t="shared" si="15"/>
        <v>0.3333333333</v>
      </c>
      <c r="AF29" s="4"/>
      <c r="AG29" s="66" t="str">
        <f t="shared" si="16"/>
        <v/>
      </c>
      <c r="AH29" s="4"/>
      <c r="AI29" s="66" t="str">
        <f t="shared" si="17"/>
        <v/>
      </c>
      <c r="AJ29" s="4"/>
      <c r="AK29" s="66" t="str">
        <f t="shared" si="18"/>
        <v/>
      </c>
      <c r="AL29" s="4"/>
      <c r="AM29" s="66" t="str">
        <f t="shared" si="19"/>
        <v/>
      </c>
      <c r="AN29" s="4"/>
      <c r="AO29" s="66" t="str">
        <f t="shared" si="20"/>
        <v/>
      </c>
      <c r="AP29" s="4"/>
      <c r="AQ29" s="66" t="str">
        <f t="shared" si="21"/>
        <v/>
      </c>
      <c r="AR29" s="4"/>
      <c r="AS29" s="68">
        <f t="shared" si="22"/>
        <v>0.375</v>
      </c>
      <c r="AT29" s="4"/>
      <c r="AU29" s="68" t="str">
        <f t="shared" si="23"/>
        <v/>
      </c>
      <c r="AV29" s="4"/>
      <c r="AW29" s="66" t="str">
        <f t="shared" si="24"/>
        <v/>
      </c>
      <c r="AX29" s="4"/>
      <c r="AY29" s="66" t="str">
        <f t="shared" si="25"/>
        <v/>
      </c>
      <c r="AZ29" s="4"/>
      <c r="BA29" s="66" t="str">
        <f t="shared" si="26"/>
        <v/>
      </c>
      <c r="BB29" s="4"/>
      <c r="BC29" s="66" t="str">
        <f t="shared" si="27"/>
        <v/>
      </c>
      <c r="BD29" s="4"/>
      <c r="BE29" s="66" t="str">
        <f t="shared" si="28"/>
        <v/>
      </c>
      <c r="BF29" s="4"/>
      <c r="BG29" s="68">
        <f t="shared" si="29"/>
        <v>0.375</v>
      </c>
      <c r="BH29" s="4"/>
      <c r="BI29" s="66" t="str">
        <f t="shared" si="30"/>
        <v/>
      </c>
      <c r="BJ29" s="4"/>
      <c r="BK29" s="66" t="str">
        <f t="shared" si="31"/>
        <v/>
      </c>
      <c r="BL29" s="4"/>
      <c r="BM29" s="67"/>
      <c r="BN29" s="67"/>
      <c r="BO29" s="67"/>
      <c r="BP29" s="67">
        <f t="shared" ref="BP29:BP47" si="32">SUM(C29:BJ29)</f>
        <v>1.791666667</v>
      </c>
    </row>
    <row r="30">
      <c r="A30" s="24"/>
      <c r="B30" s="70" t="s">
        <v>13</v>
      </c>
      <c r="C30" s="68">
        <f t="shared" ref="C30:C36" si="33">IF(OR(ISBLANK(D8), ISBLANK(C8)), "", D8-C8)</f>
        <v>0.3229166667</v>
      </c>
      <c r="D30" s="4"/>
      <c r="E30" s="68">
        <f t="shared" ref="E30:E36" si="34">IF(OR(ISBLANK(F8), ISBLANK(E8)), "", F8-E8)</f>
        <v>0.3229166667</v>
      </c>
      <c r="F30" s="4"/>
      <c r="G30" s="68">
        <f t="shared" ref="G30:G36" si="35">IF(OR(ISBLANK(H8), ISBLANK(G8)), "", H8-G8)</f>
        <v>0.3229166667</v>
      </c>
      <c r="H30" s="4"/>
      <c r="I30" s="68">
        <f t="shared" ref="I30:I36" si="36">IF(OR(ISBLANK(J8), ISBLANK(I8)), "", J8-I8)</f>
        <v>0.3229166667</v>
      </c>
      <c r="J30" s="4"/>
      <c r="K30" s="68">
        <f t="shared" ref="K30:K36" si="37">IF(OR(ISBLANK(L8), ISBLANK(K8)), "", L8-K8)</f>
        <v>0.2708333333</v>
      </c>
      <c r="L30" s="4"/>
      <c r="M30" s="68" t="str">
        <f t="shared" ref="M30:M36" si="38">IF(OR(ISBLANK(N8), ISBLANK(M8)), "", N8-M8)</f>
        <v/>
      </c>
      <c r="N30" s="4"/>
      <c r="O30" s="68">
        <f t="shared" ref="O30:O36" si="39">IF(OR(ISBLANK(P8), ISBLANK(O8)), "", P8-O8)</f>
        <v>0.4791666667</v>
      </c>
      <c r="P30" s="4"/>
      <c r="Q30" s="68">
        <f t="shared" ref="Q30:Q36" si="40">IF(OR(ISBLANK(R8), ISBLANK(Q8)), "", R8-Q8)</f>
        <v>0.3229166667</v>
      </c>
      <c r="R30" s="4"/>
      <c r="S30" s="68">
        <f t="shared" ref="S30:S36" si="41">IF(OR(ISBLANK(T8), ISBLANK(S8)), "", T8-S8)</f>
        <v>0.3229166667</v>
      </c>
      <c r="T30" s="4"/>
      <c r="U30" s="68">
        <f t="shared" ref="U30:U36" si="42">IF(OR(ISBLANK(V8), ISBLANK(U8)), "", V8-U8)</f>
        <v>0.3229166667</v>
      </c>
      <c r="V30" s="4"/>
      <c r="W30" s="68">
        <f t="shared" ref="W30:W36" si="43">IF(OR(ISBLANK(X8), ISBLANK(W8)), "", X8-W8)</f>
        <v>0.3229166667</v>
      </c>
      <c r="X30" s="4"/>
      <c r="Y30" s="68" t="str">
        <f t="shared" ref="Y30:Y36" si="44">IF(OR(ISBLANK(Z8), ISBLANK(Y8)), "", Z8-Y8)</f>
        <v/>
      </c>
      <c r="Z30" s="4"/>
      <c r="AA30" s="68" t="str">
        <f t="shared" ref="AA30:AA36" si="45">IF(OR(ISBLANK(AB8), ISBLANK(AA8)), "", AB8-AA8)</f>
        <v/>
      </c>
      <c r="AB30" s="4"/>
      <c r="AC30" s="68">
        <f t="shared" ref="AC30:AC36" si="46">IF(OR(ISBLANK(AD8), ISBLANK(AC8)), "", AD8-AC8)</f>
        <v>0.3229166667</v>
      </c>
      <c r="AD30" s="4"/>
      <c r="AE30" s="68">
        <f t="shared" ref="AE30:AE36" si="47">IF(OR(ISBLANK(AF8), ISBLANK(AE8)), "", AF8-AE8)</f>
        <v>0.3229166667</v>
      </c>
      <c r="AF30" s="4"/>
      <c r="AG30" s="68">
        <f t="shared" ref="AG30:AG36" si="48">IF(OR(ISBLANK(AH8), ISBLANK(AG8)), "", AH8-AG8)</f>
        <v>0.3229166667</v>
      </c>
      <c r="AH30" s="4"/>
      <c r="AI30" s="68">
        <f t="shared" ref="AI30:AI36" si="49">IF(OR(ISBLANK(AJ8), ISBLANK(AI8)), "", AJ8-AI8)</f>
        <v>0.3229166667</v>
      </c>
      <c r="AJ30" s="4"/>
      <c r="AK30" s="68">
        <f t="shared" ref="AK30:AK36" si="50">IF(OR(ISBLANK(AL8), ISBLANK(AK8)), "", AL8-AK8)</f>
        <v>0.3229166667</v>
      </c>
      <c r="AL30" s="4"/>
      <c r="AM30" s="68" t="str">
        <f t="shared" ref="AM30:AM36" si="51">IF(OR(ISBLANK(AN8), ISBLANK(AM8)), "", AN8-AM8)</f>
        <v/>
      </c>
      <c r="AN30" s="4"/>
      <c r="AO30" s="66" t="str">
        <f t="shared" ref="AO30:AO36" si="52">IF(OR(ISBLANK(AP8), ISBLANK(AO8)), "", AP8-AO8)</f>
        <v/>
      </c>
      <c r="AP30" s="4"/>
      <c r="AQ30" s="66" t="str">
        <f t="shared" ref="AQ30:AQ36" si="53">IF(OR(ISBLANK(AR8), ISBLANK(AQ8)), "", AR8-AQ8)</f>
        <v/>
      </c>
      <c r="AR30" s="4"/>
      <c r="AS30" s="71">
        <f t="shared" ref="AS30:AS36" si="54">IF(OR(ISBLANK(AT8), ISBLANK(AS8)), "", AT8-AS8)</f>
        <v>0.3229166667</v>
      </c>
      <c r="AT30" s="4"/>
      <c r="AU30" s="68">
        <f t="shared" ref="AU30:AU31" si="55">IF(OR(ISBLANK(AV8), ISBLANK(AU8)), "", AV8-AU8)</f>
        <v>0.3229166667</v>
      </c>
      <c r="AV30" s="4"/>
      <c r="AW30" s="68">
        <f t="shared" ref="AW30:AW36" si="56">IF(OR(ISBLANK(AX8), ISBLANK(AW8)), "", AX8-AW8)</f>
        <v>0.3229166667</v>
      </c>
      <c r="AX30" s="4"/>
      <c r="AY30" s="68">
        <f t="shared" ref="AY30:AY36" si="57">IF(OR(ISBLANK(AZ8), ISBLANK(AY8)), "", AZ8-AY8)</f>
        <v>0.3229166667</v>
      </c>
      <c r="AZ30" s="4"/>
      <c r="BA30" s="68" t="str">
        <f t="shared" ref="BA30:BA36" si="58">IF(OR(ISBLANK(BB8), ISBLANK(BA8)), "", BB8-BA8)</f>
        <v/>
      </c>
      <c r="BB30" s="4"/>
      <c r="BC30" s="66" t="str">
        <f t="shared" ref="BC30:BC36" si="59">IF(OR(ISBLANK(BD8), ISBLANK(BC8)), "", BD8-BC8)</f>
        <v/>
      </c>
      <c r="BD30" s="4"/>
      <c r="BE30" s="68">
        <f t="shared" ref="BE30:BE36" si="60">IF(OR(ISBLANK(BF8), ISBLANK(BE8)), "", BF8-BE8)</f>
        <v>0.3229166667</v>
      </c>
      <c r="BF30" s="4"/>
      <c r="BG30" s="68">
        <f t="shared" ref="BG30:BG36" si="61">IF(OR(ISBLANK(BH8), ISBLANK(BG8)), "", BH8-BG8)</f>
        <v>0.3229166667</v>
      </c>
      <c r="BH30" s="4"/>
      <c r="BI30" s="68">
        <f t="shared" ref="BI30:BI36" si="62">IF(OR(ISBLANK(BJ8), ISBLANK(BI8)), "", BJ8-BI8)</f>
        <v>0.3229166667</v>
      </c>
      <c r="BJ30" s="4"/>
      <c r="BK30" s="68" t="str">
        <f t="shared" ref="BK30:BK36" si="63">IF(OR(ISBLANK(BL8), ISBLANK(BK8)), "", BL8-BK8)</f>
        <v/>
      </c>
      <c r="BL30" s="4"/>
      <c r="BM30" s="67"/>
      <c r="BN30" s="67"/>
      <c r="BO30" s="67"/>
      <c r="BP30" s="67">
        <f t="shared" si="32"/>
        <v>7.208333333</v>
      </c>
    </row>
    <row r="31">
      <c r="A31" s="24"/>
      <c r="B31" s="72" t="s">
        <v>14</v>
      </c>
      <c r="C31" s="68">
        <f t="shared" si="33"/>
        <v>0.375</v>
      </c>
      <c r="D31" s="4"/>
      <c r="E31" s="66" t="str">
        <f t="shared" si="34"/>
        <v/>
      </c>
      <c r="F31" s="4"/>
      <c r="G31" s="69" t="str">
        <f t="shared" si="35"/>
        <v/>
      </c>
      <c r="H31" s="4"/>
      <c r="I31" s="69">
        <f t="shared" si="36"/>
        <v>0.3333333333</v>
      </c>
      <c r="J31" s="4"/>
      <c r="K31" s="68">
        <f t="shared" si="37"/>
        <v>0.3125</v>
      </c>
      <c r="L31" s="4"/>
      <c r="M31" s="68">
        <f t="shared" si="38"/>
        <v>0.3125</v>
      </c>
      <c r="N31" s="4"/>
      <c r="O31" s="68">
        <f t="shared" si="39"/>
        <v>0.375</v>
      </c>
      <c r="P31" s="4"/>
      <c r="Q31" s="68">
        <f t="shared" si="40"/>
        <v>0.375</v>
      </c>
      <c r="R31" s="4"/>
      <c r="S31" s="68">
        <f t="shared" si="41"/>
        <v>0.375</v>
      </c>
      <c r="T31" s="4"/>
      <c r="U31" s="68">
        <f t="shared" si="42"/>
        <v>0.375</v>
      </c>
      <c r="V31" s="4"/>
      <c r="W31" s="69" t="str">
        <f t="shared" si="43"/>
        <v/>
      </c>
      <c r="X31" s="4"/>
      <c r="Y31" s="69" t="str">
        <f t="shared" si="44"/>
        <v/>
      </c>
      <c r="Z31" s="4"/>
      <c r="AA31" s="69">
        <f t="shared" si="45"/>
        <v>0.3125</v>
      </c>
      <c r="AB31" s="4"/>
      <c r="AC31" s="68">
        <f t="shared" si="46"/>
        <v>0.375</v>
      </c>
      <c r="AD31" s="4"/>
      <c r="AE31" s="68">
        <f t="shared" si="47"/>
        <v>0.375</v>
      </c>
      <c r="AF31" s="4"/>
      <c r="AG31" s="71">
        <f t="shared" si="48"/>
        <v>0.375</v>
      </c>
      <c r="AH31" s="4"/>
      <c r="AI31" s="68">
        <f t="shared" si="49"/>
        <v>0.375</v>
      </c>
      <c r="AJ31" s="4"/>
      <c r="AK31" s="68" t="str">
        <f t="shared" si="50"/>
        <v/>
      </c>
      <c r="AL31" s="4"/>
      <c r="AM31" s="66" t="str">
        <f t="shared" si="51"/>
        <v/>
      </c>
      <c r="AN31" s="4"/>
      <c r="AO31" s="69" t="str">
        <f t="shared" si="52"/>
        <v/>
      </c>
      <c r="AP31" s="4"/>
      <c r="AQ31" s="69" t="str">
        <f t="shared" si="53"/>
        <v/>
      </c>
      <c r="AR31" s="4"/>
      <c r="AS31" s="69">
        <f t="shared" si="54"/>
        <v>0.375</v>
      </c>
      <c r="AT31" s="4"/>
      <c r="AU31" s="69">
        <f t="shared" si="55"/>
        <v>0.375</v>
      </c>
      <c r="AV31" s="4"/>
      <c r="AW31" s="68">
        <f t="shared" si="56"/>
        <v>0.375</v>
      </c>
      <c r="AX31" s="4"/>
      <c r="AY31" s="68">
        <f t="shared" si="57"/>
        <v>0.375</v>
      </c>
      <c r="AZ31" s="4"/>
      <c r="BA31" s="66" t="str">
        <f t="shared" si="58"/>
        <v/>
      </c>
      <c r="BB31" s="4"/>
      <c r="BC31" s="69" t="str">
        <f t="shared" si="59"/>
        <v/>
      </c>
      <c r="BD31" s="4"/>
      <c r="BE31" s="69">
        <f t="shared" si="60"/>
        <v>0.375</v>
      </c>
      <c r="BF31" s="4"/>
      <c r="BG31" s="69">
        <f t="shared" si="61"/>
        <v>0.375</v>
      </c>
      <c r="BH31" s="4"/>
      <c r="BI31" s="68">
        <f t="shared" si="62"/>
        <v>0.375</v>
      </c>
      <c r="BJ31" s="4"/>
      <c r="BK31" s="68" t="str">
        <f t="shared" si="63"/>
        <v/>
      </c>
      <c r="BL31" s="4"/>
      <c r="BM31" s="67"/>
      <c r="BN31" s="67"/>
      <c r="BO31" s="67"/>
      <c r="BP31" s="67">
        <f t="shared" si="32"/>
        <v>7.270833333</v>
      </c>
    </row>
    <row r="32">
      <c r="A32" s="24"/>
      <c r="B32" s="48" t="s">
        <v>15</v>
      </c>
      <c r="C32" s="69">
        <f t="shared" si="33"/>
        <v>0.3229166667</v>
      </c>
      <c r="D32" s="4"/>
      <c r="E32" s="69">
        <f t="shared" si="34"/>
        <v>0.4895833333</v>
      </c>
      <c r="F32" s="4"/>
      <c r="G32" s="69">
        <f t="shared" si="35"/>
        <v>0.4895833333</v>
      </c>
      <c r="H32" s="4"/>
      <c r="I32" s="68">
        <f t="shared" si="36"/>
        <v>0.3229166667</v>
      </c>
      <c r="J32" s="4"/>
      <c r="K32" s="66" t="str">
        <f t="shared" si="37"/>
        <v/>
      </c>
      <c r="L32" s="4"/>
      <c r="M32" s="69">
        <f t="shared" si="38"/>
        <v>0.3229166667</v>
      </c>
      <c r="N32" s="4"/>
      <c r="O32" s="68">
        <f t="shared" si="39"/>
        <v>0.4895833333</v>
      </c>
      <c r="P32" s="4"/>
      <c r="Q32" s="69">
        <f t="shared" si="40"/>
        <v>0.3229166667</v>
      </c>
      <c r="R32" s="4"/>
      <c r="S32" s="68">
        <f t="shared" si="41"/>
        <v>0.3229166667</v>
      </c>
      <c r="T32" s="4"/>
      <c r="U32" s="66" t="str">
        <f t="shared" si="42"/>
        <v/>
      </c>
      <c r="V32" s="4"/>
      <c r="W32" s="69">
        <f t="shared" si="43"/>
        <v>0.375</v>
      </c>
      <c r="X32" s="4"/>
      <c r="Y32" s="68">
        <f t="shared" si="44"/>
        <v>0.3125</v>
      </c>
      <c r="Z32" s="4"/>
      <c r="AA32" s="68">
        <f t="shared" si="45"/>
        <v>0.3125</v>
      </c>
      <c r="AB32" s="4"/>
      <c r="AC32" s="69">
        <f t="shared" si="46"/>
        <v>0.4895833333</v>
      </c>
      <c r="AD32" s="4"/>
      <c r="AE32" s="66" t="str">
        <f t="shared" si="47"/>
        <v/>
      </c>
      <c r="AF32" s="4"/>
      <c r="AG32" s="69">
        <f t="shared" si="48"/>
        <v>0.3333333333</v>
      </c>
      <c r="AH32" s="4"/>
      <c r="AI32" s="68">
        <f t="shared" si="49"/>
        <v>0.3333333333</v>
      </c>
      <c r="AJ32" s="4"/>
      <c r="AK32" s="69" t="str">
        <f t="shared" si="50"/>
        <v/>
      </c>
      <c r="AL32" s="4"/>
      <c r="AM32" s="66" t="str">
        <f t="shared" si="51"/>
        <v/>
      </c>
      <c r="AN32" s="4"/>
      <c r="AO32" s="66" t="str">
        <f t="shared" si="52"/>
        <v/>
      </c>
      <c r="AP32" s="4"/>
      <c r="AQ32" s="68" t="str">
        <f t="shared" si="53"/>
        <v/>
      </c>
      <c r="AR32" s="4"/>
      <c r="AS32" s="69">
        <f t="shared" si="54"/>
        <v>0.3229166667</v>
      </c>
      <c r="AT32" s="4"/>
      <c r="AU32" s="68" t="str">
        <f>IF(OR(ISBLANK(#REF!), ISBLANK(#REF!)), "", #REF!-#REF!)</f>
        <v>#REF!</v>
      </c>
      <c r="AV32" s="4"/>
      <c r="AW32" s="69">
        <f t="shared" si="56"/>
        <v>0.3229166667</v>
      </c>
      <c r="AX32" s="4"/>
      <c r="AY32" s="69">
        <f t="shared" si="57"/>
        <v>0.3229166667</v>
      </c>
      <c r="AZ32" s="4"/>
      <c r="BA32" s="66" t="str">
        <f t="shared" si="58"/>
        <v/>
      </c>
      <c r="BB32" s="4"/>
      <c r="BC32" s="68">
        <f t="shared" si="59"/>
        <v>0.3229166667</v>
      </c>
      <c r="BD32" s="4"/>
      <c r="BE32" s="68">
        <f t="shared" si="60"/>
        <v>0.3229166667</v>
      </c>
      <c r="BF32" s="4"/>
      <c r="BG32" s="66" t="str">
        <f t="shared" si="61"/>
        <v/>
      </c>
      <c r="BH32" s="4"/>
      <c r="BI32" s="68">
        <f t="shared" si="62"/>
        <v>0.3229166667</v>
      </c>
      <c r="BJ32" s="4"/>
      <c r="BK32" s="66" t="str">
        <f t="shared" si="63"/>
        <v/>
      </c>
      <c r="BL32" s="4"/>
      <c r="BM32" s="67"/>
      <c r="BN32" s="67"/>
      <c r="BO32" s="67"/>
      <c r="BP32" s="67" t="str">
        <f t="shared" si="32"/>
        <v>#REF!</v>
      </c>
    </row>
    <row r="33">
      <c r="A33" s="24"/>
      <c r="B33" s="48" t="s">
        <v>16</v>
      </c>
      <c r="C33" s="68">
        <f t="shared" si="33"/>
        <v>0.375</v>
      </c>
      <c r="D33" s="4"/>
      <c r="E33" s="68">
        <f t="shared" si="34"/>
        <v>0.375</v>
      </c>
      <c r="F33" s="4"/>
      <c r="G33" s="68">
        <f t="shared" si="35"/>
        <v>0.3333333333</v>
      </c>
      <c r="H33" s="4"/>
      <c r="I33" s="68">
        <f t="shared" si="36"/>
        <v>0.375</v>
      </c>
      <c r="J33" s="4"/>
      <c r="K33" s="66" t="str">
        <f t="shared" si="37"/>
        <v/>
      </c>
      <c r="L33" s="4"/>
      <c r="M33" s="68">
        <f t="shared" si="38"/>
        <v>0.2708333333</v>
      </c>
      <c r="N33" s="4"/>
      <c r="O33" s="71" t="str">
        <f t="shared" si="39"/>
        <v/>
      </c>
      <c r="P33" s="4"/>
      <c r="Q33" s="68">
        <f t="shared" si="40"/>
        <v>0.3333333333</v>
      </c>
      <c r="R33" s="4"/>
      <c r="S33" s="68">
        <f t="shared" si="41"/>
        <v>0.3229166667</v>
      </c>
      <c r="T33" s="4"/>
      <c r="U33" s="68" t="str">
        <f t="shared" si="42"/>
        <v/>
      </c>
      <c r="V33" s="4"/>
      <c r="W33" s="68">
        <f t="shared" si="43"/>
        <v>0.375</v>
      </c>
      <c r="X33" s="4"/>
      <c r="Y33" s="66" t="str">
        <f t="shared" si="44"/>
        <v/>
      </c>
      <c r="Z33" s="4"/>
      <c r="AA33" s="69">
        <f t="shared" si="45"/>
        <v>0.3229166667</v>
      </c>
      <c r="AB33" s="4"/>
      <c r="AC33" s="66" t="str">
        <f t="shared" si="46"/>
        <v/>
      </c>
      <c r="AD33" s="4"/>
      <c r="AE33" s="68">
        <f t="shared" si="47"/>
        <v>0.375</v>
      </c>
      <c r="AF33" s="4"/>
      <c r="AG33" s="66" t="str">
        <f t="shared" si="48"/>
        <v/>
      </c>
      <c r="AH33" s="4"/>
      <c r="AI33" s="68">
        <f t="shared" si="49"/>
        <v>0.4895833333</v>
      </c>
      <c r="AJ33" s="4"/>
      <c r="AK33" s="66" t="str">
        <f t="shared" si="50"/>
        <v/>
      </c>
      <c r="AL33" s="4"/>
      <c r="AM33" s="68" t="str">
        <f t="shared" si="51"/>
        <v/>
      </c>
      <c r="AN33" s="4"/>
      <c r="AO33" s="68" t="str">
        <f t="shared" si="52"/>
        <v/>
      </c>
      <c r="AP33" s="4"/>
      <c r="AQ33" s="71" t="str">
        <f t="shared" si="53"/>
        <v/>
      </c>
      <c r="AR33" s="4"/>
      <c r="AS33" s="66" t="str">
        <f t="shared" si="54"/>
        <v/>
      </c>
      <c r="AT33" s="4"/>
      <c r="AU33" s="68">
        <f t="shared" ref="AU33:AU36" si="64">IF(OR(ISBLANK(AV11), ISBLANK(AU11)), "", AV11-AU11)</f>
        <v>0.3333333333</v>
      </c>
      <c r="AV33" s="4"/>
      <c r="AW33" s="66" t="str">
        <f t="shared" si="56"/>
        <v/>
      </c>
      <c r="AX33" s="4"/>
      <c r="AY33" s="68">
        <f t="shared" si="57"/>
        <v>0.3333333333</v>
      </c>
      <c r="AZ33" s="4"/>
      <c r="BA33" s="66" t="str">
        <f t="shared" si="58"/>
        <v/>
      </c>
      <c r="BB33" s="4"/>
      <c r="BC33" s="68" t="str">
        <f t="shared" si="59"/>
        <v/>
      </c>
      <c r="BD33" s="4"/>
      <c r="BE33" s="68" t="str">
        <f t="shared" si="60"/>
        <v/>
      </c>
      <c r="BF33" s="4"/>
      <c r="BG33" s="66" t="str">
        <f t="shared" si="61"/>
        <v/>
      </c>
      <c r="BH33" s="4"/>
      <c r="BI33" s="68">
        <f t="shared" si="62"/>
        <v>0.3333333333</v>
      </c>
      <c r="BJ33" s="4"/>
      <c r="BK33" s="66" t="str">
        <f t="shared" si="63"/>
        <v/>
      </c>
      <c r="BL33" s="4"/>
      <c r="BM33" s="67"/>
      <c r="BN33" s="67"/>
      <c r="BO33" s="67"/>
      <c r="BP33" s="67">
        <f t="shared" si="32"/>
        <v>4.947916667</v>
      </c>
    </row>
    <row r="34" hidden="1">
      <c r="A34" s="24"/>
      <c r="B34" s="48" t="s">
        <v>17</v>
      </c>
      <c r="C34" s="66" t="str">
        <f t="shared" si="33"/>
        <v/>
      </c>
      <c r="D34" s="4"/>
      <c r="E34" s="66" t="str">
        <f t="shared" si="34"/>
        <v/>
      </c>
      <c r="F34" s="4"/>
      <c r="G34" s="66" t="str">
        <f t="shared" si="35"/>
        <v/>
      </c>
      <c r="H34" s="4"/>
      <c r="I34" s="66" t="str">
        <f t="shared" si="36"/>
        <v/>
      </c>
      <c r="J34" s="4"/>
      <c r="K34" s="68">
        <f t="shared" si="37"/>
        <v>0.3333333333</v>
      </c>
      <c r="L34" s="4"/>
      <c r="M34" s="66" t="str">
        <f t="shared" si="38"/>
        <v/>
      </c>
      <c r="N34" s="4"/>
      <c r="O34" s="68">
        <f t="shared" si="39"/>
        <v>0.3333333333</v>
      </c>
      <c r="P34" s="4"/>
      <c r="Q34" s="66" t="str">
        <f t="shared" si="40"/>
        <v/>
      </c>
      <c r="R34" s="4"/>
      <c r="S34" s="68" t="str">
        <f t="shared" si="41"/>
        <v/>
      </c>
      <c r="T34" s="4"/>
      <c r="U34" s="66" t="str">
        <f t="shared" si="42"/>
        <v/>
      </c>
      <c r="V34" s="4"/>
      <c r="W34" s="66" t="str">
        <f t="shared" si="43"/>
        <v/>
      </c>
      <c r="X34" s="4"/>
      <c r="Y34" s="68">
        <f t="shared" si="44"/>
        <v>0.3333333333</v>
      </c>
      <c r="Z34" s="4"/>
      <c r="AA34" s="66" t="str">
        <f t="shared" si="45"/>
        <v/>
      </c>
      <c r="AB34" s="4"/>
      <c r="AC34" s="68">
        <f t="shared" si="46"/>
        <v>0.3333333333</v>
      </c>
      <c r="AD34" s="4"/>
      <c r="AE34" s="66" t="str">
        <f t="shared" si="47"/>
        <v/>
      </c>
      <c r="AF34" s="4"/>
      <c r="AG34" s="68" t="str">
        <f t="shared" si="48"/>
        <v/>
      </c>
      <c r="AH34" s="4"/>
      <c r="AI34" s="66" t="str">
        <f t="shared" si="49"/>
        <v/>
      </c>
      <c r="AJ34" s="4"/>
      <c r="AK34" s="66" t="str">
        <f t="shared" si="50"/>
        <v/>
      </c>
      <c r="AL34" s="4"/>
      <c r="AM34" s="66" t="str">
        <f t="shared" si="51"/>
        <v/>
      </c>
      <c r="AN34" s="4"/>
      <c r="AO34" s="66" t="str">
        <f t="shared" si="52"/>
        <v/>
      </c>
      <c r="AP34" s="4"/>
      <c r="AQ34" s="66" t="str">
        <f t="shared" si="53"/>
        <v/>
      </c>
      <c r="AR34" s="4"/>
      <c r="AS34" s="66" t="str">
        <f t="shared" si="54"/>
        <v/>
      </c>
      <c r="AT34" s="4"/>
      <c r="AU34" s="68" t="str">
        <f t="shared" si="64"/>
        <v/>
      </c>
      <c r="AV34" s="4"/>
      <c r="AW34" s="66" t="str">
        <f t="shared" si="56"/>
        <v/>
      </c>
      <c r="AX34" s="4"/>
      <c r="AY34" s="66" t="str">
        <f t="shared" si="57"/>
        <v/>
      </c>
      <c r="AZ34" s="4"/>
      <c r="BA34" s="66" t="str">
        <f t="shared" si="58"/>
        <v/>
      </c>
      <c r="BB34" s="4"/>
      <c r="BC34" s="66" t="str">
        <f t="shared" si="59"/>
        <v/>
      </c>
      <c r="BD34" s="4"/>
      <c r="BE34" s="66" t="str">
        <f t="shared" si="60"/>
        <v/>
      </c>
      <c r="BF34" s="4"/>
      <c r="BG34" s="66" t="str">
        <f t="shared" si="61"/>
        <v/>
      </c>
      <c r="BH34" s="4"/>
      <c r="BI34" s="68" t="str">
        <f t="shared" si="62"/>
        <v/>
      </c>
      <c r="BJ34" s="4"/>
      <c r="BK34" s="66" t="str">
        <f t="shared" si="63"/>
        <v/>
      </c>
      <c r="BL34" s="4"/>
      <c r="BM34" s="67"/>
      <c r="BN34" s="67"/>
      <c r="BO34" s="67"/>
      <c r="BP34" s="67">
        <f t="shared" si="32"/>
        <v>1.333333333</v>
      </c>
    </row>
    <row r="35">
      <c r="A35" s="24"/>
      <c r="B35" s="48" t="s">
        <v>18</v>
      </c>
      <c r="C35" s="68" t="str">
        <f t="shared" si="33"/>
        <v/>
      </c>
      <c r="D35" s="4"/>
      <c r="E35" s="68" t="str">
        <f t="shared" si="34"/>
        <v/>
      </c>
      <c r="F35" s="4"/>
      <c r="G35" s="66" t="str">
        <f t="shared" si="35"/>
        <v/>
      </c>
      <c r="H35" s="4"/>
      <c r="I35" s="68" t="str">
        <f t="shared" si="36"/>
        <v/>
      </c>
      <c r="J35" s="4"/>
      <c r="K35" s="66" t="str">
        <f t="shared" si="37"/>
        <v/>
      </c>
      <c r="L35" s="4"/>
      <c r="M35" s="68" t="str">
        <f t="shared" si="38"/>
        <v/>
      </c>
      <c r="N35" s="4"/>
      <c r="O35" s="69">
        <f t="shared" si="39"/>
        <v>0.3229166667</v>
      </c>
      <c r="P35" s="4"/>
      <c r="Q35" s="68" t="str">
        <f t="shared" si="40"/>
        <v/>
      </c>
      <c r="R35" s="4"/>
      <c r="S35" s="68">
        <f t="shared" si="41"/>
        <v>0.3229166667</v>
      </c>
      <c r="T35" s="4"/>
      <c r="U35" s="68">
        <f t="shared" si="42"/>
        <v>0.3229166667</v>
      </c>
      <c r="V35" s="4"/>
      <c r="W35" s="68" t="str">
        <f t="shared" si="43"/>
        <v/>
      </c>
      <c r="X35" s="4"/>
      <c r="Y35" s="69">
        <f t="shared" si="44"/>
        <v>0.3229166667</v>
      </c>
      <c r="Z35" s="4"/>
      <c r="AA35" s="69">
        <f t="shared" si="45"/>
        <v>0.3229166667</v>
      </c>
      <c r="AB35" s="4"/>
      <c r="AC35" s="69">
        <f t="shared" si="46"/>
        <v>0.3229166667</v>
      </c>
      <c r="AD35" s="4"/>
      <c r="AE35" s="68" t="str">
        <f t="shared" si="47"/>
        <v/>
      </c>
      <c r="AF35" s="4"/>
      <c r="AG35" s="68">
        <f t="shared" si="48"/>
        <v>0.3229166667</v>
      </c>
      <c r="AH35" s="4"/>
      <c r="AI35" s="66" t="str">
        <f t="shared" si="49"/>
        <v/>
      </c>
      <c r="AJ35" s="4"/>
      <c r="AK35" s="68" t="str">
        <f t="shared" si="50"/>
        <v/>
      </c>
      <c r="AL35" s="4"/>
      <c r="AM35" s="68">
        <f t="shared" si="51"/>
        <v>0.2708333333</v>
      </c>
      <c r="AN35" s="4"/>
      <c r="AO35" s="68">
        <f t="shared" si="52"/>
        <v>0.2708333333</v>
      </c>
      <c r="AP35" s="4"/>
      <c r="AQ35" s="68">
        <f t="shared" si="53"/>
        <v>0.3229166667</v>
      </c>
      <c r="AR35" s="4"/>
      <c r="AS35" s="71" t="str">
        <f t="shared" si="54"/>
        <v/>
      </c>
      <c r="AT35" s="4"/>
      <c r="AU35" s="69">
        <f t="shared" si="64"/>
        <v>0.3229166667</v>
      </c>
      <c r="AV35" s="4"/>
      <c r="AW35" s="69">
        <f t="shared" si="56"/>
        <v>0.3229166667</v>
      </c>
      <c r="AX35" s="4"/>
      <c r="AY35" s="66" t="str">
        <f t="shared" si="57"/>
        <v/>
      </c>
      <c r="AZ35" s="4"/>
      <c r="BA35" s="68" t="str">
        <f t="shared" si="58"/>
        <v/>
      </c>
      <c r="BB35" s="4"/>
      <c r="BC35" s="68">
        <f t="shared" si="59"/>
        <v>0.3229166667</v>
      </c>
      <c r="BD35" s="4"/>
      <c r="BE35" s="68">
        <f t="shared" si="60"/>
        <v>0.3229166667</v>
      </c>
      <c r="BF35" s="4"/>
      <c r="BG35" s="66" t="str">
        <f t="shared" si="61"/>
        <v/>
      </c>
      <c r="BH35" s="4"/>
      <c r="BI35" s="68">
        <f t="shared" si="62"/>
        <v>0.3229166667</v>
      </c>
      <c r="BJ35" s="4"/>
      <c r="BK35" s="66" t="str">
        <f t="shared" si="63"/>
        <v/>
      </c>
      <c r="BL35" s="4"/>
      <c r="BM35" s="67"/>
      <c r="BN35" s="67"/>
      <c r="BO35" s="67"/>
      <c r="BP35" s="67">
        <f t="shared" si="32"/>
        <v>4.739583333</v>
      </c>
    </row>
    <row r="36">
      <c r="A36" s="24"/>
      <c r="B36" s="48" t="s">
        <v>19</v>
      </c>
      <c r="C36" s="68">
        <f t="shared" si="33"/>
        <v>0.3333333333</v>
      </c>
      <c r="D36" s="4"/>
      <c r="E36" s="68">
        <f t="shared" si="34"/>
        <v>0.3333333333</v>
      </c>
      <c r="F36" s="4"/>
      <c r="G36" s="68">
        <f t="shared" si="35"/>
        <v>0.375</v>
      </c>
      <c r="H36" s="4"/>
      <c r="I36" s="68">
        <f t="shared" si="36"/>
        <v>0.375</v>
      </c>
      <c r="J36" s="4"/>
      <c r="K36" s="68">
        <f t="shared" si="37"/>
        <v>0.3229166667</v>
      </c>
      <c r="L36" s="4"/>
      <c r="M36" s="68" t="str">
        <f t="shared" si="38"/>
        <v/>
      </c>
      <c r="N36" s="4"/>
      <c r="O36" s="68">
        <f t="shared" si="39"/>
        <v>0.3229166667</v>
      </c>
      <c r="P36" s="4"/>
      <c r="Q36" s="68" t="str">
        <f t="shared" si="40"/>
        <v/>
      </c>
      <c r="R36" s="4"/>
      <c r="S36" s="68">
        <f t="shared" si="41"/>
        <v>0.3333333333</v>
      </c>
      <c r="T36" s="4"/>
      <c r="U36" s="68">
        <f t="shared" si="42"/>
        <v>0.3333333333</v>
      </c>
      <c r="V36" s="4"/>
      <c r="W36" s="68">
        <f t="shared" si="43"/>
        <v>0.3333333333</v>
      </c>
      <c r="X36" s="4"/>
      <c r="Y36" s="68">
        <f t="shared" si="44"/>
        <v>0.2708333333</v>
      </c>
      <c r="Z36" s="4"/>
      <c r="AA36" s="68" t="str">
        <f t="shared" si="45"/>
        <v/>
      </c>
      <c r="AB36" s="4"/>
      <c r="AC36" s="68">
        <f t="shared" si="46"/>
        <v>0.3333333333</v>
      </c>
      <c r="AD36" s="4"/>
      <c r="AE36" s="68">
        <f t="shared" si="47"/>
        <v>0.3229166667</v>
      </c>
      <c r="AF36" s="4"/>
      <c r="AG36" s="68">
        <f t="shared" si="48"/>
        <v>0.375</v>
      </c>
      <c r="AH36" s="4"/>
      <c r="AI36" s="68">
        <f t="shared" si="49"/>
        <v>0.3333333333</v>
      </c>
      <c r="AJ36" s="4"/>
      <c r="AK36" s="68">
        <f t="shared" si="50"/>
        <v>0.3229166667</v>
      </c>
      <c r="AL36" s="4"/>
      <c r="AM36" s="68">
        <f t="shared" si="51"/>
        <v>0.3229166667</v>
      </c>
      <c r="AN36" s="4"/>
      <c r="AO36" s="68" t="str">
        <f t="shared" si="52"/>
        <v/>
      </c>
      <c r="AP36" s="4"/>
      <c r="AQ36" s="68" t="str">
        <f t="shared" si="53"/>
        <v/>
      </c>
      <c r="AR36" s="4"/>
      <c r="AS36" s="68">
        <f t="shared" si="54"/>
        <v>0.3333333333</v>
      </c>
      <c r="AT36" s="4"/>
      <c r="AU36" s="66" t="str">
        <f t="shared" si="64"/>
        <v/>
      </c>
      <c r="AV36" s="4"/>
      <c r="AW36" s="68">
        <f t="shared" si="56"/>
        <v>0.3333333333</v>
      </c>
      <c r="AX36" s="4"/>
      <c r="AY36" s="66" t="str">
        <f t="shared" si="57"/>
        <v/>
      </c>
      <c r="AZ36" s="4"/>
      <c r="BA36" s="68" t="str">
        <f t="shared" si="58"/>
        <v/>
      </c>
      <c r="BB36" s="4"/>
      <c r="BC36" s="68" t="str">
        <f t="shared" si="59"/>
        <v/>
      </c>
      <c r="BD36" s="4"/>
      <c r="BE36" s="68">
        <f t="shared" si="60"/>
        <v>0.3333333333</v>
      </c>
      <c r="BF36" s="4"/>
      <c r="BG36" s="68">
        <f t="shared" si="61"/>
        <v>0.3333333333</v>
      </c>
      <c r="BH36" s="4"/>
      <c r="BI36" s="68">
        <f t="shared" si="62"/>
        <v>0.375</v>
      </c>
      <c r="BJ36" s="4"/>
      <c r="BK36" s="68" t="str">
        <f t="shared" si="63"/>
        <v/>
      </c>
      <c r="BL36" s="4"/>
      <c r="BM36" s="67"/>
      <c r="BN36" s="67"/>
      <c r="BO36" s="67"/>
      <c r="BP36" s="67">
        <f t="shared" si="32"/>
        <v>7.052083333</v>
      </c>
    </row>
    <row r="37" hidden="1">
      <c r="A37" s="73"/>
      <c r="B37" s="74" t="s">
        <v>29</v>
      </c>
      <c r="C37" s="66" t="str">
        <f>IF(OR(ISBLANK(D15), ISBLANK(C14)), "", D15-C15)</f>
        <v/>
      </c>
      <c r="D37" s="4"/>
      <c r="E37" s="66" t="str">
        <f>IF(OR(ISBLANK(F15), ISBLANK(E14)), "", F15-E15)</f>
        <v/>
      </c>
      <c r="F37" s="4"/>
      <c r="G37" s="66" t="str">
        <f>IF(OR(ISBLANK(H15), ISBLANK(G14)), "", H15-G15)</f>
        <v/>
      </c>
      <c r="H37" s="4"/>
      <c r="I37" s="68">
        <f>IF(OR(ISBLANK(J15), ISBLANK(I14)), "", J15-I15)</f>
        <v>0.375</v>
      </c>
      <c r="J37" s="4"/>
      <c r="K37" s="66" t="str">
        <f>IF(OR(ISBLANK(L15), ISBLANK(K14)), "", L15-K15)</f>
        <v/>
      </c>
      <c r="L37" s="4"/>
      <c r="M37" s="68">
        <f>IF(OR(ISBLANK(N15), ISBLANK(M14)), "", N15-M15)</f>
        <v>0.375</v>
      </c>
      <c r="N37" s="4"/>
      <c r="O37" s="66" t="str">
        <f>IF(OR(ISBLANK(P15), ISBLANK(O14)), "", P15-O15)</f>
        <v/>
      </c>
      <c r="P37" s="4"/>
      <c r="Q37" s="69">
        <f>IF(OR(ISBLANK(R15), ISBLANK(Q14)), "", R15-Q15)</f>
        <v>0.3229166667</v>
      </c>
      <c r="R37" s="4"/>
      <c r="S37" s="66" t="str">
        <f>IF(OR(ISBLANK(T15), ISBLANK(S14)), "", T15-S15)</f>
        <v/>
      </c>
      <c r="T37" s="4"/>
      <c r="U37" s="66" t="str">
        <f>IF(OR(ISBLANK(V15), ISBLANK(U14)), "", V15-U15)</f>
        <v/>
      </c>
      <c r="V37" s="4"/>
      <c r="W37" s="68">
        <f>IF(OR(ISBLANK(X15), ISBLANK(W14)), "", X15-W15)</f>
        <v>0.375</v>
      </c>
      <c r="X37" s="4"/>
      <c r="Y37" s="66" t="str">
        <f>IF(OR(ISBLANK(Z15), ISBLANK(Y14)), "", Z15-Y15)</f>
        <v/>
      </c>
      <c r="Z37" s="4"/>
      <c r="AA37" s="68">
        <f>IF(OR(ISBLANK(AB15), ISBLANK(AA14)), "", AB15-AA15)</f>
        <v>0.375</v>
      </c>
      <c r="AB37" s="4"/>
      <c r="AC37" s="66" t="str">
        <f>IF(OR(ISBLANK(AD15), ISBLANK(AC14)), "", AD15-AC15)</f>
        <v/>
      </c>
      <c r="AD37" s="4"/>
      <c r="AE37" s="69">
        <f>IF(OR(ISBLANK(AF15), ISBLANK(AE14)), "", AF15-AE15)</f>
        <v>0.3229166667</v>
      </c>
      <c r="AF37" s="4"/>
      <c r="AG37" s="66" t="str">
        <f>IF(OR(ISBLANK(AH15), ISBLANK(AG14)), "", AH15-AG15)</f>
        <v/>
      </c>
      <c r="AH37" s="4"/>
      <c r="AI37" s="66" t="str">
        <f>IF(OR(ISBLANK(AJ15), ISBLANK(AI14)), "", AJ15-AI15)</f>
        <v/>
      </c>
      <c r="AJ37" s="4"/>
      <c r="AK37" s="68" t="str">
        <f>IF(OR(ISBLANK(AL15), ISBLANK(AK14)), "", AL15-AK15)</f>
        <v/>
      </c>
      <c r="AL37" s="4"/>
      <c r="AM37" s="66" t="str">
        <f>IF(OR(ISBLANK(AN15), ISBLANK(AM14)), "", AN15-AM15)</f>
        <v/>
      </c>
      <c r="AN37" s="4"/>
      <c r="AO37" s="68" t="str">
        <f>IF(OR(ISBLANK(AP15), ISBLANK(AO14)), "", AP15-AO15)</f>
        <v/>
      </c>
      <c r="AP37" s="4"/>
      <c r="AQ37" s="66" t="str">
        <f>IF(OR(ISBLANK(AR15), ISBLANK(AQ14)), "", AR15-AQ15)</f>
        <v/>
      </c>
      <c r="AR37" s="4"/>
      <c r="AS37" s="69" t="str">
        <f>IF(OR(ISBLANK(AT15), ISBLANK(AS14)), "", AT15-AS15)</f>
        <v/>
      </c>
      <c r="AT37" s="4"/>
      <c r="AU37" s="66" t="str">
        <f>IF(OR(ISBLANK(AV15), ISBLANK(AU14)), "", AV15-AU15)</f>
        <v/>
      </c>
      <c r="AV37" s="4"/>
      <c r="AW37" s="66" t="str">
        <f>IF(OR(ISBLANK(AX15), ISBLANK(AW14)), "", AX15-AW15)</f>
        <v/>
      </c>
      <c r="AX37" s="4"/>
      <c r="AY37" s="68" t="str">
        <f>IF(OR(ISBLANK(AZ15), ISBLANK(AY14)), "", AZ15-AY15)</f>
        <v/>
      </c>
      <c r="AZ37" s="4"/>
      <c r="BA37" s="68" t="str">
        <f>IF(OR(ISBLANK(BB15), ISBLANK(BA14)), "", BB15-BA15)</f>
        <v/>
      </c>
      <c r="BB37" s="4"/>
      <c r="BC37" s="66" t="str">
        <f>IF(OR(ISBLANK(BD15), ISBLANK(BC14)), "", BD15-BC15)</f>
        <v/>
      </c>
      <c r="BD37" s="4"/>
      <c r="BE37" s="68" t="str">
        <f>IF(OR(ISBLANK(BF15), ISBLANK(BE14)), "", BF15-BE15)</f>
        <v/>
      </c>
      <c r="BF37" s="4"/>
      <c r="BG37" s="66" t="str">
        <f>IF(OR(ISBLANK(BH15), ISBLANK(BG14)), "", BH15-BG15)</f>
        <v/>
      </c>
      <c r="BH37" s="4"/>
      <c r="BI37" s="66" t="str">
        <f>IF(OR(ISBLANK(BJ15), ISBLANK(BI14)), "", BJ15-BI15)</f>
        <v/>
      </c>
      <c r="BJ37" s="4"/>
      <c r="BK37" s="66" t="str">
        <f>IF(OR(ISBLANK(BL15), ISBLANK(BK14)), "", BL15-BK15)</f>
        <v/>
      </c>
      <c r="BL37" s="4"/>
      <c r="BM37" s="67"/>
      <c r="BN37" s="67"/>
      <c r="BO37" s="67"/>
      <c r="BP37" s="67">
        <f t="shared" si="32"/>
        <v>2.145833333</v>
      </c>
    </row>
    <row r="38" hidden="1">
      <c r="A38" s="24"/>
      <c r="B38" s="48" t="s">
        <v>20</v>
      </c>
      <c r="C38" s="66" t="str">
        <f t="shared" ref="C38:C47" si="65">IF(OR(ISBLANK(D16), ISBLANK(C16)), "", D16-C16)</f>
        <v/>
      </c>
      <c r="D38" s="4"/>
      <c r="E38" s="66" t="str">
        <f t="shared" ref="E38:E47" si="66">IF(OR(ISBLANK(F16), ISBLANK(E16)), "", F16-E16)</f>
        <v/>
      </c>
      <c r="F38" s="4"/>
      <c r="G38" s="66" t="str">
        <f t="shared" ref="G38:G47" si="67">IF(OR(ISBLANK(H16), ISBLANK(G16)), "", H16-G16)</f>
        <v/>
      </c>
      <c r="H38" s="4"/>
      <c r="I38" s="66" t="str">
        <f t="shared" ref="I38:I47" si="68">IF(OR(ISBLANK(J16), ISBLANK(I16)), "", J16-I16)</f>
        <v/>
      </c>
      <c r="J38" s="4"/>
      <c r="K38" s="66" t="str">
        <f t="shared" ref="K38:K47" si="69">IF(OR(ISBLANK(L16), ISBLANK(K16)), "", L16-K16)</f>
        <v/>
      </c>
      <c r="L38" s="4"/>
      <c r="M38" s="66" t="str">
        <f t="shared" ref="M38:M47" si="70">IF(OR(ISBLANK(N16), ISBLANK(M16)), "", N16-M16)</f>
        <v/>
      </c>
      <c r="N38" s="4"/>
      <c r="O38" s="66" t="str">
        <f t="shared" ref="O38:O47" si="71">IF(OR(ISBLANK(P16), ISBLANK(O16)), "", P16-O16)</f>
        <v/>
      </c>
      <c r="P38" s="4"/>
      <c r="Q38" s="66" t="str">
        <f t="shared" ref="Q38:Q47" si="72">IF(OR(ISBLANK(R16), ISBLANK(Q16)), "", R16-Q16)</f>
        <v/>
      </c>
      <c r="R38" s="4"/>
      <c r="S38" s="66" t="str">
        <f t="shared" ref="S38:S47" si="73">IF(OR(ISBLANK(T16), ISBLANK(S16)), "", T16-S16)</f>
        <v/>
      </c>
      <c r="T38" s="4"/>
      <c r="U38" s="66" t="str">
        <f t="shared" ref="U38:U47" si="74">IF(OR(ISBLANK(V16), ISBLANK(U16)), "", V16-U16)</f>
        <v/>
      </c>
      <c r="V38" s="4"/>
      <c r="W38" s="66" t="str">
        <f t="shared" ref="W38:W47" si="75">IF(OR(ISBLANK(X16), ISBLANK(W16)), "", X16-W16)</f>
        <v/>
      </c>
      <c r="X38" s="4"/>
      <c r="Y38" s="66" t="str">
        <f t="shared" ref="Y38:Y47" si="76">IF(OR(ISBLANK(Z16), ISBLANK(Y16)), "", Z16-Y16)</f>
        <v/>
      </c>
      <c r="Z38" s="4"/>
      <c r="AA38" s="66" t="str">
        <f t="shared" ref="AA38:AA47" si="77">IF(OR(ISBLANK(AB16), ISBLANK(AA16)), "", AB16-AA16)</f>
        <v/>
      </c>
      <c r="AB38" s="4"/>
      <c r="AC38" s="66" t="str">
        <f t="shared" ref="AC38:AC47" si="78">IF(OR(ISBLANK(AD16), ISBLANK(AC16)), "", AD16-AC16)</f>
        <v/>
      </c>
      <c r="AD38" s="4"/>
      <c r="AE38" s="66" t="str">
        <f t="shared" ref="AE38:AE47" si="79">IF(OR(ISBLANK(AF16), ISBLANK(AE16)), "", AF16-AE16)</f>
        <v/>
      </c>
      <c r="AF38" s="4"/>
      <c r="AG38" s="66" t="str">
        <f t="shared" ref="AG38:AG47" si="80">IF(OR(ISBLANK(AH16), ISBLANK(AG16)), "", AH16-AG16)</f>
        <v/>
      </c>
      <c r="AH38" s="4"/>
      <c r="AI38" s="66" t="str">
        <f t="shared" ref="AI38:AI47" si="81">IF(OR(ISBLANK(AJ16), ISBLANK(AI16)), "", AJ16-AI16)</f>
        <v/>
      </c>
      <c r="AJ38" s="4"/>
      <c r="AK38" s="66" t="str">
        <f t="shared" ref="AK38:AK47" si="82">IF(OR(ISBLANK(AL16), ISBLANK(AK16)), "", AL16-AK16)</f>
        <v/>
      </c>
      <c r="AL38" s="4"/>
      <c r="AM38" s="66" t="str">
        <f t="shared" ref="AM38:AM47" si="83">IF(OR(ISBLANK(AN16), ISBLANK(AM16)), "", AN16-AM16)</f>
        <v/>
      </c>
      <c r="AN38" s="4"/>
      <c r="AO38" s="66" t="str">
        <f t="shared" ref="AO38:AO47" si="84">IF(OR(ISBLANK(AP16), ISBLANK(AO16)), "", AP16-AO16)</f>
        <v/>
      </c>
      <c r="AP38" s="4"/>
      <c r="AQ38" s="66" t="str">
        <f t="shared" ref="AQ38:AQ47" si="85">IF(OR(ISBLANK(AR16), ISBLANK(AQ16)), "", AR16-AQ16)</f>
        <v/>
      </c>
      <c r="AR38" s="4"/>
      <c r="AS38" s="66" t="str">
        <f t="shared" ref="AS38:AS47" si="86">IF(OR(ISBLANK(AT16), ISBLANK(AS16)), "", AT16-AS16)</f>
        <v/>
      </c>
      <c r="AT38" s="4"/>
      <c r="AU38" s="66" t="str">
        <f t="shared" ref="AU38:AU39" si="87">IF(OR(ISBLANK(AV16), ISBLANK(AU16)), "", AV16-AU16)</f>
        <v/>
      </c>
      <c r="AV38" s="4"/>
      <c r="AW38" s="66" t="str">
        <f t="shared" ref="AW38:AW47" si="88">IF(OR(ISBLANK(AX16), ISBLANK(AW16)), "", AX16-AW16)</f>
        <v/>
      </c>
      <c r="AX38" s="4"/>
      <c r="AY38" s="66" t="str">
        <f t="shared" ref="AY38:AY47" si="89">IF(OR(ISBLANK(AZ16), ISBLANK(AY16)), "", AZ16-AY16)</f>
        <v/>
      </c>
      <c r="AZ38" s="4"/>
      <c r="BA38" s="66" t="str">
        <f t="shared" ref="BA38:BA47" si="90">IF(OR(ISBLANK(BB16), ISBLANK(BA16)), "", BB16-BA16)</f>
        <v/>
      </c>
      <c r="BB38" s="4"/>
      <c r="BC38" s="66" t="str">
        <f t="shared" ref="BC38:BC47" si="91">IF(OR(ISBLANK(BD16), ISBLANK(BC16)), "", BD16-BC16)</f>
        <v/>
      </c>
      <c r="BD38" s="4"/>
      <c r="BE38" s="68" t="str">
        <f t="shared" ref="BE38:BE47" si="92">IF(OR(ISBLANK(BF16), ISBLANK(BE16)), "", BF16-BE16)</f>
        <v/>
      </c>
      <c r="BF38" s="4"/>
      <c r="BG38" s="68" t="str">
        <f t="shared" ref="BG38:BG47" si="93">IF(OR(ISBLANK(BH16), ISBLANK(BG16)), "", BH16-BG16)</f>
        <v/>
      </c>
      <c r="BH38" s="4"/>
      <c r="BI38" s="68" t="str">
        <f t="shared" ref="BI38:BI47" si="94">IF(OR(ISBLANK(BJ16), ISBLANK(BI16)), "", BJ16-BI16)</f>
        <v/>
      </c>
      <c r="BJ38" s="4"/>
      <c r="BK38" s="66" t="str">
        <f t="shared" ref="BK38:BK47" si="95">IF(OR(ISBLANK(BL16), ISBLANK(BK16)), "", BL16-BK16)</f>
        <v/>
      </c>
      <c r="BL38" s="4"/>
      <c r="BM38" s="67"/>
      <c r="BN38" s="67"/>
      <c r="BO38" s="67"/>
      <c r="BP38" s="67">
        <f t="shared" si="32"/>
        <v>0</v>
      </c>
    </row>
    <row r="39">
      <c r="A39" s="24"/>
      <c r="B39" s="72" t="s">
        <v>21</v>
      </c>
      <c r="C39" s="66" t="str">
        <f t="shared" si="65"/>
        <v/>
      </c>
      <c r="D39" s="4"/>
      <c r="E39" s="66" t="str">
        <f t="shared" si="66"/>
        <v/>
      </c>
      <c r="F39" s="4"/>
      <c r="G39" s="66" t="str">
        <f t="shared" si="67"/>
        <v/>
      </c>
      <c r="H39" s="4"/>
      <c r="I39" s="69" t="str">
        <f t="shared" si="68"/>
        <v/>
      </c>
      <c r="J39" s="4"/>
      <c r="K39" s="68">
        <f t="shared" si="69"/>
        <v>0.3229166667</v>
      </c>
      <c r="L39" s="4"/>
      <c r="M39" s="68">
        <f t="shared" si="70"/>
        <v>0.3229166667</v>
      </c>
      <c r="N39" s="4"/>
      <c r="O39" s="69" t="str">
        <f t="shared" si="71"/>
        <v/>
      </c>
      <c r="P39" s="4"/>
      <c r="Q39" s="66" t="str">
        <f t="shared" si="72"/>
        <v/>
      </c>
      <c r="R39" s="4"/>
      <c r="S39" s="66" t="str">
        <f t="shared" si="73"/>
        <v/>
      </c>
      <c r="T39" s="4"/>
      <c r="U39" s="66" t="str">
        <f t="shared" si="74"/>
        <v/>
      </c>
      <c r="V39" s="4"/>
      <c r="W39" s="66" t="str">
        <f t="shared" si="75"/>
        <v/>
      </c>
      <c r="X39" s="4"/>
      <c r="Y39" s="68">
        <f t="shared" si="76"/>
        <v>0.3229166667</v>
      </c>
      <c r="Z39" s="4"/>
      <c r="AA39" s="69">
        <f t="shared" si="77"/>
        <v>0.3229166667</v>
      </c>
      <c r="AB39" s="4"/>
      <c r="AC39" s="68" t="str">
        <f t="shared" si="78"/>
        <v/>
      </c>
      <c r="AD39" s="4"/>
      <c r="AE39" s="66" t="str">
        <f t="shared" si="79"/>
        <v/>
      </c>
      <c r="AF39" s="4"/>
      <c r="AG39" s="68" t="str">
        <f t="shared" si="80"/>
        <v/>
      </c>
      <c r="AH39" s="4"/>
      <c r="AI39" s="68">
        <f t="shared" si="81"/>
        <v>0.3229166667</v>
      </c>
      <c r="AJ39" s="4"/>
      <c r="AK39" s="66" t="str">
        <f t="shared" si="82"/>
        <v/>
      </c>
      <c r="AL39" s="4"/>
      <c r="AM39" s="68" t="str">
        <f t="shared" si="83"/>
        <v/>
      </c>
      <c r="AN39" s="4"/>
      <c r="AO39" s="71" t="str">
        <f t="shared" si="84"/>
        <v/>
      </c>
      <c r="AP39" s="4"/>
      <c r="AQ39" s="68">
        <f t="shared" si="85"/>
        <v>0.3333333333</v>
      </c>
      <c r="AR39" s="4"/>
      <c r="AS39" s="66" t="str">
        <f t="shared" si="86"/>
        <v/>
      </c>
      <c r="AT39" s="4"/>
      <c r="AU39" s="68" t="str">
        <f t="shared" si="87"/>
        <v/>
      </c>
      <c r="AV39" s="4"/>
      <c r="AW39" s="68" t="str">
        <f t="shared" si="88"/>
        <v/>
      </c>
      <c r="AX39" s="4"/>
      <c r="AY39" s="69" t="str">
        <f t="shared" si="89"/>
        <v/>
      </c>
      <c r="AZ39" s="4"/>
      <c r="BA39" s="66" t="str">
        <f t="shared" si="90"/>
        <v/>
      </c>
      <c r="BB39" s="4"/>
      <c r="BC39" s="68">
        <f t="shared" si="91"/>
        <v>0.3229166667</v>
      </c>
      <c r="BD39" s="4"/>
      <c r="BE39" s="68" t="str">
        <f t="shared" si="92"/>
        <v/>
      </c>
      <c r="BF39" s="4"/>
      <c r="BG39" s="68">
        <f t="shared" si="93"/>
        <v>0.3229166667</v>
      </c>
      <c r="BH39" s="4"/>
      <c r="BI39" s="69" t="str">
        <f t="shared" si="94"/>
        <v/>
      </c>
      <c r="BJ39" s="4"/>
      <c r="BK39" s="68" t="str">
        <f t="shared" si="95"/>
        <v/>
      </c>
      <c r="BL39" s="4"/>
      <c r="BM39" s="67"/>
      <c r="BN39" s="67"/>
      <c r="BO39" s="67"/>
      <c r="BP39" s="67">
        <f t="shared" si="32"/>
        <v>2.59375</v>
      </c>
    </row>
    <row r="40">
      <c r="A40" s="24"/>
      <c r="B40" s="72" t="s">
        <v>22</v>
      </c>
      <c r="C40" s="69">
        <f t="shared" si="65"/>
        <v>0.3229166667</v>
      </c>
      <c r="D40" s="4"/>
      <c r="E40" s="68">
        <f t="shared" si="66"/>
        <v>0.3229166667</v>
      </c>
      <c r="F40" s="4"/>
      <c r="G40" s="68" t="str">
        <f t="shared" si="67"/>
        <v/>
      </c>
      <c r="H40" s="4"/>
      <c r="I40" s="68" t="str">
        <f t="shared" si="68"/>
        <v/>
      </c>
      <c r="J40" s="4"/>
      <c r="K40" s="69">
        <f t="shared" si="69"/>
        <v>0.4895833333</v>
      </c>
      <c r="L40" s="4"/>
      <c r="M40" s="69">
        <f t="shared" si="70"/>
        <v>0.3125</v>
      </c>
      <c r="N40" s="4"/>
      <c r="O40" s="71" t="str">
        <f t="shared" si="71"/>
        <v/>
      </c>
      <c r="P40" s="4"/>
      <c r="Q40" s="66" t="str">
        <f t="shared" si="72"/>
        <v/>
      </c>
      <c r="R40" s="4"/>
      <c r="S40" s="69">
        <f t="shared" si="73"/>
        <v>0.375</v>
      </c>
      <c r="T40" s="4"/>
      <c r="U40" s="69">
        <f t="shared" si="74"/>
        <v>0.3229166667</v>
      </c>
      <c r="V40" s="4"/>
      <c r="W40" s="69">
        <f t="shared" si="75"/>
        <v>0.3229166667</v>
      </c>
      <c r="X40" s="4"/>
      <c r="Y40" s="69">
        <f t="shared" si="76"/>
        <v>0.3229166667</v>
      </c>
      <c r="Z40" s="4"/>
      <c r="AA40" s="71" t="str">
        <f t="shared" si="77"/>
        <v/>
      </c>
      <c r="AB40" s="4"/>
      <c r="AC40" s="68" t="str">
        <f t="shared" si="78"/>
        <v/>
      </c>
      <c r="AD40" s="4"/>
      <c r="AE40" s="68">
        <f t="shared" si="79"/>
        <v>0.3229166667</v>
      </c>
      <c r="AF40" s="4"/>
      <c r="AG40" s="71" t="str">
        <f t="shared" si="80"/>
        <v/>
      </c>
      <c r="AH40" s="4"/>
      <c r="AI40" s="69">
        <f t="shared" si="81"/>
        <v>0.3229166667</v>
      </c>
      <c r="AJ40" s="4"/>
      <c r="AK40" s="68">
        <f t="shared" si="82"/>
        <v>0.3333333333</v>
      </c>
      <c r="AL40" s="4"/>
      <c r="AM40" s="68">
        <f t="shared" si="83"/>
        <v>0.3229166667</v>
      </c>
      <c r="AN40" s="4"/>
      <c r="AO40" s="68">
        <f t="shared" si="84"/>
        <v>0.3229166667</v>
      </c>
      <c r="AP40" s="4"/>
      <c r="AQ40" s="71" t="str">
        <f t="shared" si="85"/>
        <v/>
      </c>
      <c r="AR40" s="4"/>
      <c r="AS40" s="69">
        <f t="shared" si="86"/>
        <v>0.3229166667</v>
      </c>
      <c r="AT40" s="4"/>
      <c r="AU40" s="69">
        <f>IF(OR(ISBLANK(AV10), ISBLANK(AU10)), "", AV10-AU10)</f>
        <v>0.3229166667</v>
      </c>
      <c r="AV40" s="4"/>
      <c r="AW40" s="68" t="str">
        <f t="shared" si="88"/>
        <v/>
      </c>
      <c r="AX40" s="4"/>
      <c r="AY40" s="69">
        <f t="shared" si="89"/>
        <v>0.3229166667</v>
      </c>
      <c r="AZ40" s="4"/>
      <c r="BA40" s="69" t="str">
        <f t="shared" si="90"/>
        <v/>
      </c>
      <c r="BB40" s="4"/>
      <c r="BC40" s="69">
        <f t="shared" si="91"/>
        <v>0.3229166667</v>
      </c>
      <c r="BD40" s="4"/>
      <c r="BE40" s="68" t="str">
        <f t="shared" si="92"/>
        <v/>
      </c>
      <c r="BF40" s="4"/>
      <c r="BG40" s="68">
        <f t="shared" si="93"/>
        <v>0.3229166667</v>
      </c>
      <c r="BH40" s="4"/>
      <c r="BI40" s="66" t="str">
        <f t="shared" si="94"/>
        <v/>
      </c>
      <c r="BJ40" s="4"/>
      <c r="BK40" s="66" t="str">
        <f t="shared" si="95"/>
        <v/>
      </c>
      <c r="BL40" s="4"/>
      <c r="BM40" s="67"/>
      <c r="BN40" s="67"/>
      <c r="BO40" s="67"/>
      <c r="BP40" s="67">
        <f t="shared" si="32"/>
        <v>6.03125</v>
      </c>
    </row>
    <row r="41">
      <c r="A41" s="75"/>
      <c r="B41" s="72" t="s">
        <v>12</v>
      </c>
      <c r="C41" s="69" t="str">
        <f t="shared" si="65"/>
        <v/>
      </c>
      <c r="D41" s="4"/>
      <c r="E41" s="69" t="str">
        <f t="shared" si="66"/>
        <v/>
      </c>
      <c r="F41" s="4"/>
      <c r="G41" s="69">
        <f t="shared" si="67"/>
        <v>0.3229166667</v>
      </c>
      <c r="H41" s="4"/>
      <c r="I41" s="69">
        <f t="shared" si="68"/>
        <v>0.3229166667</v>
      </c>
      <c r="J41" s="4"/>
      <c r="K41" s="69" t="str">
        <f t="shared" si="69"/>
        <v/>
      </c>
      <c r="L41" s="4"/>
      <c r="M41" s="69" t="str">
        <f t="shared" si="70"/>
        <v/>
      </c>
      <c r="N41" s="4"/>
      <c r="O41" s="68" t="str">
        <f t="shared" si="71"/>
        <v/>
      </c>
      <c r="P41" s="4"/>
      <c r="Q41" s="68">
        <f t="shared" si="72"/>
        <v>0.3229166667</v>
      </c>
      <c r="R41" s="4"/>
      <c r="S41" s="66" t="str">
        <f t="shared" si="73"/>
        <v/>
      </c>
      <c r="T41" s="4"/>
      <c r="U41" s="68">
        <f t="shared" si="74"/>
        <v>0.3229166667</v>
      </c>
      <c r="V41" s="4"/>
      <c r="W41" s="69" t="str">
        <f t="shared" si="75"/>
        <v/>
      </c>
      <c r="X41" s="4"/>
      <c r="Y41" s="69" t="str">
        <f t="shared" si="76"/>
        <v/>
      </c>
      <c r="Z41" s="4"/>
      <c r="AA41" s="71" t="str">
        <f t="shared" si="77"/>
        <v/>
      </c>
      <c r="AB41" s="4"/>
      <c r="AC41" s="68" t="str">
        <f t="shared" si="78"/>
        <v/>
      </c>
      <c r="AD41" s="4"/>
      <c r="AE41" s="66" t="str">
        <f t="shared" si="79"/>
        <v/>
      </c>
      <c r="AF41" s="4"/>
      <c r="AG41" s="68" t="str">
        <f t="shared" si="80"/>
        <v/>
      </c>
      <c r="AH41" s="4"/>
      <c r="AI41" s="69" t="str">
        <f t="shared" si="81"/>
        <v/>
      </c>
      <c r="AJ41" s="4"/>
      <c r="AK41" s="69" t="str">
        <f t="shared" si="82"/>
        <v/>
      </c>
      <c r="AL41" s="4"/>
      <c r="AM41" s="69" t="str">
        <f t="shared" si="83"/>
        <v/>
      </c>
      <c r="AN41" s="4"/>
      <c r="AO41" s="66" t="str">
        <f t="shared" si="84"/>
        <v/>
      </c>
      <c r="AP41" s="4"/>
      <c r="AQ41" s="68" t="str">
        <f t="shared" si="85"/>
        <v/>
      </c>
      <c r="AR41" s="4"/>
      <c r="AS41" s="68" t="str">
        <f t="shared" si="86"/>
        <v/>
      </c>
      <c r="AT41" s="4"/>
      <c r="AU41" s="69" t="str">
        <f t="shared" ref="AU41:AU47" si="96">IF(OR(ISBLANK(AV19), ISBLANK(AU19)), "", AV19-AU19)</f>
        <v/>
      </c>
      <c r="AV41" s="4"/>
      <c r="AW41" s="66" t="str">
        <f t="shared" si="88"/>
        <v/>
      </c>
      <c r="AX41" s="4"/>
      <c r="AY41" s="68" t="str">
        <f t="shared" si="89"/>
        <v/>
      </c>
      <c r="AZ41" s="4"/>
      <c r="BA41" s="69" t="str">
        <f t="shared" si="90"/>
        <v/>
      </c>
      <c r="BB41" s="4"/>
      <c r="BC41" s="68" t="str">
        <f t="shared" si="91"/>
        <v/>
      </c>
      <c r="BD41" s="4"/>
      <c r="BE41" s="69" t="str">
        <f t="shared" si="92"/>
        <v/>
      </c>
      <c r="BF41" s="4"/>
      <c r="BG41" s="66" t="str">
        <f t="shared" si="93"/>
        <v/>
      </c>
      <c r="BH41" s="4"/>
      <c r="BI41" s="69">
        <f t="shared" si="94"/>
        <v>0.3229166667</v>
      </c>
      <c r="BJ41" s="4"/>
      <c r="BK41" s="66" t="str">
        <f t="shared" si="95"/>
        <v/>
      </c>
      <c r="BL41" s="4"/>
      <c r="BM41" s="67"/>
      <c r="BN41" s="67"/>
      <c r="BO41" s="67"/>
      <c r="BP41" s="67">
        <f t="shared" si="32"/>
        <v>1.614583333</v>
      </c>
    </row>
    <row r="42">
      <c r="A42" s="75"/>
      <c r="B42" s="72" t="s">
        <v>23</v>
      </c>
      <c r="C42" s="66" t="str">
        <f t="shared" si="65"/>
        <v/>
      </c>
      <c r="D42" s="4"/>
      <c r="E42" s="66" t="str">
        <f t="shared" si="66"/>
        <v/>
      </c>
      <c r="F42" s="4"/>
      <c r="G42" s="66" t="str">
        <f t="shared" si="67"/>
        <v/>
      </c>
      <c r="H42" s="4"/>
      <c r="I42" s="66" t="str">
        <f t="shared" si="68"/>
        <v/>
      </c>
      <c r="J42" s="4"/>
      <c r="K42" s="68">
        <f t="shared" si="69"/>
        <v>0.2708333333</v>
      </c>
      <c r="L42" s="4"/>
      <c r="M42" s="68" t="str">
        <f t="shared" si="70"/>
        <v/>
      </c>
      <c r="N42" s="4"/>
      <c r="O42" s="66" t="str">
        <f t="shared" si="71"/>
        <v/>
      </c>
      <c r="P42" s="4"/>
      <c r="Q42" s="69" t="str">
        <f t="shared" si="72"/>
        <v/>
      </c>
      <c r="R42" s="4"/>
      <c r="S42" s="66" t="str">
        <f t="shared" si="73"/>
        <v/>
      </c>
      <c r="T42" s="4"/>
      <c r="U42" s="66" t="str">
        <f t="shared" si="74"/>
        <v/>
      </c>
      <c r="V42" s="4"/>
      <c r="W42" s="66" t="str">
        <f t="shared" si="75"/>
        <v/>
      </c>
      <c r="X42" s="4"/>
      <c r="Y42" s="68">
        <f t="shared" si="76"/>
        <v>0.3125</v>
      </c>
      <c r="Z42" s="4"/>
      <c r="AA42" s="69" t="str">
        <f t="shared" si="77"/>
        <v/>
      </c>
      <c r="AB42" s="4"/>
      <c r="AC42" s="66" t="str">
        <f t="shared" si="78"/>
        <v/>
      </c>
      <c r="AD42" s="4"/>
      <c r="AE42" s="69" t="str">
        <f t="shared" si="79"/>
        <v/>
      </c>
      <c r="AF42" s="4"/>
      <c r="AG42" s="66" t="str">
        <f t="shared" si="80"/>
        <v/>
      </c>
      <c r="AH42" s="4"/>
      <c r="AI42" s="66" t="str">
        <f t="shared" si="81"/>
        <v/>
      </c>
      <c r="AJ42" s="4"/>
      <c r="AK42" s="66" t="str">
        <f t="shared" si="82"/>
        <v/>
      </c>
      <c r="AL42" s="4"/>
      <c r="AM42" s="66" t="str">
        <f t="shared" si="83"/>
        <v/>
      </c>
      <c r="AN42" s="4"/>
      <c r="AO42" s="71" t="str">
        <f t="shared" si="84"/>
        <v/>
      </c>
      <c r="AP42" s="4"/>
      <c r="AQ42" s="66" t="str">
        <f t="shared" si="85"/>
        <v/>
      </c>
      <c r="AR42" s="4"/>
      <c r="AS42" s="69" t="str">
        <f t="shared" si="86"/>
        <v/>
      </c>
      <c r="AT42" s="4"/>
      <c r="AU42" s="66" t="str">
        <f t="shared" si="96"/>
        <v/>
      </c>
      <c r="AV42" s="4"/>
      <c r="AW42" s="66" t="str">
        <f t="shared" si="88"/>
        <v/>
      </c>
      <c r="AX42" s="4"/>
      <c r="AY42" s="69" t="str">
        <f t="shared" si="89"/>
        <v/>
      </c>
      <c r="AZ42" s="4"/>
      <c r="BA42" s="66" t="str">
        <f t="shared" si="90"/>
        <v/>
      </c>
      <c r="BB42" s="4"/>
      <c r="BC42" s="66" t="str">
        <f t="shared" si="91"/>
        <v/>
      </c>
      <c r="BD42" s="4"/>
      <c r="BE42" s="66" t="str">
        <f t="shared" si="92"/>
        <v/>
      </c>
      <c r="BF42" s="4"/>
      <c r="BG42" s="69" t="str">
        <f t="shared" si="93"/>
        <v/>
      </c>
      <c r="BH42" s="4"/>
      <c r="BI42" s="66" t="str">
        <f t="shared" si="94"/>
        <v/>
      </c>
      <c r="BJ42" s="4"/>
      <c r="BK42" s="66" t="str">
        <f t="shared" si="95"/>
        <v/>
      </c>
      <c r="BL42" s="4"/>
      <c r="BM42" s="67"/>
      <c r="BN42" s="67"/>
      <c r="BO42" s="67"/>
      <c r="BP42" s="67">
        <f t="shared" si="32"/>
        <v>0.5833333333</v>
      </c>
    </row>
    <row r="43" hidden="1">
      <c r="A43" s="75"/>
      <c r="B43" s="76" t="s">
        <v>24</v>
      </c>
      <c r="C43" s="68">
        <f t="shared" si="65"/>
        <v>0.3229166667</v>
      </c>
      <c r="D43" s="4"/>
      <c r="E43" s="66" t="str">
        <f t="shared" si="66"/>
        <v/>
      </c>
      <c r="F43" s="4"/>
      <c r="G43" s="69" t="str">
        <f t="shared" si="67"/>
        <v/>
      </c>
      <c r="H43" s="4"/>
      <c r="I43" s="66" t="str">
        <f t="shared" si="68"/>
        <v/>
      </c>
      <c r="J43" s="4"/>
      <c r="K43" s="68">
        <f t="shared" si="69"/>
        <v>0.3229166667</v>
      </c>
      <c r="L43" s="4"/>
      <c r="M43" s="66" t="str">
        <f t="shared" si="70"/>
        <v/>
      </c>
      <c r="N43" s="4"/>
      <c r="O43" s="69" t="str">
        <f t="shared" si="71"/>
        <v/>
      </c>
      <c r="P43" s="4"/>
      <c r="Q43" s="69" t="str">
        <f t="shared" si="72"/>
        <v/>
      </c>
      <c r="R43" s="4"/>
      <c r="S43" s="68">
        <f t="shared" si="73"/>
        <v>0.2708333333</v>
      </c>
      <c r="T43" s="4"/>
      <c r="U43" s="69">
        <f t="shared" si="74"/>
        <v>0.3229166667</v>
      </c>
      <c r="V43" s="4"/>
      <c r="W43" s="66" t="str">
        <f t="shared" si="75"/>
        <v/>
      </c>
      <c r="X43" s="4"/>
      <c r="Y43" s="68">
        <f t="shared" si="76"/>
        <v>0.3229166667</v>
      </c>
      <c r="Z43" s="4"/>
      <c r="AA43" s="66" t="str">
        <f t="shared" si="77"/>
        <v/>
      </c>
      <c r="AB43" s="4"/>
      <c r="AC43" s="66" t="str">
        <f t="shared" si="78"/>
        <v/>
      </c>
      <c r="AD43" s="4"/>
      <c r="AE43" s="66" t="str">
        <f t="shared" si="79"/>
        <v/>
      </c>
      <c r="AF43" s="4"/>
      <c r="AG43" s="69" t="str">
        <f t="shared" si="80"/>
        <v/>
      </c>
      <c r="AH43" s="4"/>
      <c r="AI43" s="69" t="str">
        <f t="shared" si="81"/>
        <v/>
      </c>
      <c r="AJ43" s="4"/>
      <c r="AK43" s="66" t="str">
        <f t="shared" si="82"/>
        <v/>
      </c>
      <c r="AL43" s="4"/>
      <c r="AM43" s="68" t="str">
        <f t="shared" si="83"/>
        <v/>
      </c>
      <c r="AN43" s="4"/>
      <c r="AO43" s="66" t="str">
        <f t="shared" si="84"/>
        <v/>
      </c>
      <c r="AP43" s="4"/>
      <c r="AQ43" s="66" t="str">
        <f t="shared" si="85"/>
        <v/>
      </c>
      <c r="AR43" s="4"/>
      <c r="AS43" s="69" t="str">
        <f t="shared" si="86"/>
        <v/>
      </c>
      <c r="AT43" s="4"/>
      <c r="AU43" s="69" t="str">
        <f t="shared" si="96"/>
        <v/>
      </c>
      <c r="AV43" s="4"/>
      <c r="AW43" s="69" t="str">
        <f t="shared" si="88"/>
        <v/>
      </c>
      <c r="AX43" s="4"/>
      <c r="AY43" s="66" t="str">
        <f t="shared" si="89"/>
        <v/>
      </c>
      <c r="AZ43" s="4"/>
      <c r="BA43" s="66" t="str">
        <f t="shared" si="90"/>
        <v/>
      </c>
      <c r="BB43" s="4"/>
      <c r="BC43" s="66" t="str">
        <f t="shared" si="91"/>
        <v/>
      </c>
      <c r="BD43" s="4"/>
      <c r="BE43" s="66" t="str">
        <f t="shared" si="92"/>
        <v/>
      </c>
      <c r="BF43" s="4"/>
      <c r="BG43" s="66" t="str">
        <f t="shared" si="93"/>
        <v/>
      </c>
      <c r="BH43" s="4"/>
      <c r="BI43" s="66" t="str">
        <f t="shared" si="94"/>
        <v/>
      </c>
      <c r="BJ43" s="4"/>
      <c r="BK43" s="66" t="str">
        <f t="shared" si="95"/>
        <v/>
      </c>
      <c r="BL43" s="4"/>
      <c r="BM43" s="67"/>
      <c r="BN43" s="67"/>
      <c r="BO43" s="67"/>
      <c r="BP43" s="67">
        <f t="shared" si="32"/>
        <v>1.5625</v>
      </c>
    </row>
    <row r="44">
      <c r="A44" s="73"/>
      <c r="B44" s="77" t="s">
        <v>25</v>
      </c>
      <c r="C44" s="66" t="str">
        <f t="shared" si="65"/>
        <v/>
      </c>
      <c r="D44" s="4"/>
      <c r="E44" s="68" t="str">
        <f t="shared" si="66"/>
        <v/>
      </c>
      <c r="F44" s="4"/>
      <c r="G44" s="68">
        <f t="shared" si="67"/>
        <v>0.4895833333</v>
      </c>
      <c r="H44" s="4"/>
      <c r="I44" s="68">
        <f t="shared" si="68"/>
        <v>0.3229166667</v>
      </c>
      <c r="J44" s="4"/>
      <c r="K44" s="68">
        <f t="shared" si="69"/>
        <v>0.3229166667</v>
      </c>
      <c r="L44" s="4"/>
      <c r="M44" s="68">
        <f t="shared" si="70"/>
        <v>0.3229166667</v>
      </c>
      <c r="N44" s="4"/>
      <c r="O44" s="66" t="str">
        <f t="shared" si="71"/>
        <v/>
      </c>
      <c r="P44" s="4"/>
      <c r="Q44" s="68">
        <f t="shared" si="72"/>
        <v>0.3333333333</v>
      </c>
      <c r="R44" s="4"/>
      <c r="S44" s="68">
        <f t="shared" si="73"/>
        <v>0.3333333333</v>
      </c>
      <c r="T44" s="4"/>
      <c r="U44" s="68">
        <f t="shared" si="74"/>
        <v>0.3333333333</v>
      </c>
      <c r="V44" s="4"/>
      <c r="W44" s="68">
        <f t="shared" si="75"/>
        <v>0.3229166667</v>
      </c>
      <c r="X44" s="4"/>
      <c r="Y44" s="68" t="str">
        <f t="shared" si="76"/>
        <v/>
      </c>
      <c r="Z44" s="4"/>
      <c r="AA44" s="68">
        <f t="shared" si="77"/>
        <v>0.2708333333</v>
      </c>
      <c r="AB44" s="4"/>
      <c r="AC44" s="68">
        <f t="shared" si="78"/>
        <v>0.3229166667</v>
      </c>
      <c r="AD44" s="4"/>
      <c r="AE44" s="68">
        <f t="shared" si="79"/>
        <v>0.3229166667</v>
      </c>
      <c r="AF44" s="4"/>
      <c r="AG44" s="69">
        <f t="shared" si="80"/>
        <v>0.3229166667</v>
      </c>
      <c r="AH44" s="4"/>
      <c r="AI44" s="66" t="str">
        <f t="shared" si="81"/>
        <v/>
      </c>
      <c r="AJ44" s="4"/>
      <c r="AK44" s="68">
        <f t="shared" si="82"/>
        <v>0.3333333333</v>
      </c>
      <c r="AL44" s="4"/>
      <c r="AM44" s="68" t="str">
        <f t="shared" si="83"/>
        <v/>
      </c>
      <c r="AN44" s="4"/>
      <c r="AO44" s="66" t="str">
        <f t="shared" si="84"/>
        <v/>
      </c>
      <c r="AP44" s="4"/>
      <c r="AQ44" s="66" t="str">
        <f t="shared" si="85"/>
        <v/>
      </c>
      <c r="AR44" s="4"/>
      <c r="AS44" s="68">
        <f t="shared" si="86"/>
        <v>0.3229166667</v>
      </c>
      <c r="AT44" s="4"/>
      <c r="AU44" s="68">
        <f t="shared" si="96"/>
        <v>0.3229166667</v>
      </c>
      <c r="AV44" s="4"/>
      <c r="AW44" s="68">
        <f t="shared" si="88"/>
        <v>0.3229166667</v>
      </c>
      <c r="AX44" s="4"/>
      <c r="AY44" s="68">
        <f t="shared" si="89"/>
        <v>0.3229166667</v>
      </c>
      <c r="AZ44" s="4"/>
      <c r="BA44" s="66" t="str">
        <f t="shared" si="90"/>
        <v/>
      </c>
      <c r="BB44" s="4"/>
      <c r="BC44" s="66" t="str">
        <f t="shared" si="91"/>
        <v/>
      </c>
      <c r="BD44" s="4"/>
      <c r="BE44" s="68">
        <f t="shared" si="92"/>
        <v>0.3229166667</v>
      </c>
      <c r="BF44" s="4"/>
      <c r="BG44" s="68">
        <f t="shared" si="93"/>
        <v>0.3229166667</v>
      </c>
      <c r="BH44" s="4"/>
      <c r="BI44" s="68">
        <f t="shared" si="94"/>
        <v>0.3333333333</v>
      </c>
      <c r="BJ44" s="4"/>
      <c r="BK44" s="66" t="str">
        <f t="shared" si="95"/>
        <v/>
      </c>
      <c r="BL44" s="4"/>
      <c r="BM44" s="67"/>
      <c r="BN44" s="67"/>
      <c r="BO44" s="67"/>
      <c r="BP44" s="67">
        <f t="shared" si="32"/>
        <v>6.625</v>
      </c>
    </row>
    <row r="45" hidden="1">
      <c r="B45" s="78" t="s">
        <v>26</v>
      </c>
      <c r="C45" s="66" t="str">
        <f t="shared" si="65"/>
        <v/>
      </c>
      <c r="D45" s="4"/>
      <c r="E45" s="68" t="str">
        <f t="shared" si="66"/>
        <v/>
      </c>
      <c r="F45" s="4"/>
      <c r="G45" s="68" t="str">
        <f t="shared" si="67"/>
        <v/>
      </c>
      <c r="H45" s="4"/>
      <c r="I45" s="68">
        <f t="shared" si="68"/>
        <v>0.375</v>
      </c>
      <c r="J45" s="4"/>
      <c r="K45" s="68">
        <f t="shared" si="69"/>
        <v>0.3333333333</v>
      </c>
      <c r="L45" s="4"/>
      <c r="M45" s="68" t="str">
        <f t="shared" si="70"/>
        <v/>
      </c>
      <c r="N45" s="4"/>
      <c r="O45" s="68">
        <f t="shared" si="71"/>
        <v>0.3333333333</v>
      </c>
      <c r="P45" s="4"/>
      <c r="Q45" s="68">
        <f t="shared" si="72"/>
        <v>0.3125</v>
      </c>
      <c r="R45" s="4"/>
      <c r="S45" s="66" t="str">
        <f t="shared" si="73"/>
        <v/>
      </c>
      <c r="T45" s="4"/>
      <c r="U45" s="66" t="str">
        <f t="shared" si="74"/>
        <v/>
      </c>
      <c r="V45" s="4"/>
      <c r="W45" s="68">
        <f t="shared" si="75"/>
        <v>0.375</v>
      </c>
      <c r="X45" s="4"/>
      <c r="Y45" s="68">
        <f t="shared" si="76"/>
        <v>0.3333333333</v>
      </c>
      <c r="Z45" s="4"/>
      <c r="AA45" s="66" t="str">
        <f t="shared" si="77"/>
        <v/>
      </c>
      <c r="AB45" s="4"/>
      <c r="AC45" s="68">
        <f t="shared" si="78"/>
        <v>0.3333333333</v>
      </c>
      <c r="AD45" s="4"/>
      <c r="AE45" s="68">
        <f t="shared" si="79"/>
        <v>0.3125</v>
      </c>
      <c r="AF45" s="4"/>
      <c r="AG45" s="66" t="str">
        <f t="shared" si="80"/>
        <v/>
      </c>
      <c r="AH45" s="4"/>
      <c r="AI45" s="66" t="str">
        <f t="shared" si="81"/>
        <v/>
      </c>
      <c r="AJ45" s="4"/>
      <c r="AK45" s="68" t="str">
        <f t="shared" si="82"/>
        <v/>
      </c>
      <c r="AL45" s="4"/>
      <c r="AM45" s="68" t="str">
        <f t="shared" si="83"/>
        <v/>
      </c>
      <c r="AN45" s="4"/>
      <c r="AO45" s="66" t="str">
        <f t="shared" si="84"/>
        <v/>
      </c>
      <c r="AP45" s="4"/>
      <c r="AQ45" s="66" t="str">
        <f t="shared" si="85"/>
        <v/>
      </c>
      <c r="AR45" s="4"/>
      <c r="AS45" s="66" t="str">
        <f t="shared" si="86"/>
        <v/>
      </c>
      <c r="AT45" s="4"/>
      <c r="AU45" s="68" t="str">
        <f t="shared" si="96"/>
        <v/>
      </c>
      <c r="AV45" s="4"/>
      <c r="AW45" s="68" t="str">
        <f t="shared" si="88"/>
        <v/>
      </c>
      <c r="AX45" s="4"/>
      <c r="AY45" s="66" t="str">
        <f t="shared" si="89"/>
        <v/>
      </c>
      <c r="AZ45" s="4"/>
      <c r="BA45" s="66" t="str">
        <f t="shared" si="90"/>
        <v/>
      </c>
      <c r="BB45" s="4"/>
      <c r="BC45" s="66" t="str">
        <f t="shared" si="91"/>
        <v/>
      </c>
      <c r="BD45" s="4"/>
      <c r="BE45" s="66" t="str">
        <f t="shared" si="92"/>
        <v/>
      </c>
      <c r="BF45" s="4"/>
      <c r="BG45" s="68" t="str">
        <f t="shared" si="93"/>
        <v/>
      </c>
      <c r="BH45" s="4"/>
      <c r="BI45" s="68" t="str">
        <f t="shared" si="94"/>
        <v/>
      </c>
      <c r="BJ45" s="4"/>
      <c r="BK45" s="66" t="str">
        <f t="shared" si="95"/>
        <v/>
      </c>
      <c r="BL45" s="4"/>
      <c r="BM45" s="67"/>
      <c r="BN45" s="67"/>
      <c r="BO45" s="67"/>
      <c r="BP45" s="67">
        <f t="shared" si="32"/>
        <v>2.708333333</v>
      </c>
    </row>
    <row r="46">
      <c r="B46" s="72" t="s">
        <v>27</v>
      </c>
      <c r="C46" s="68">
        <f t="shared" si="65"/>
        <v>0.3229166667</v>
      </c>
      <c r="D46" s="4"/>
      <c r="E46" s="68">
        <f t="shared" si="66"/>
        <v>0.4791666667</v>
      </c>
      <c r="F46" s="4"/>
      <c r="G46" s="68" t="str">
        <f t="shared" si="67"/>
        <v/>
      </c>
      <c r="H46" s="4"/>
      <c r="I46" s="68">
        <f t="shared" si="68"/>
        <v>0.3333333333</v>
      </c>
      <c r="J46" s="4"/>
      <c r="K46" s="68" t="str">
        <f t="shared" si="69"/>
        <v/>
      </c>
      <c r="L46" s="4"/>
      <c r="M46" s="68">
        <f t="shared" si="70"/>
        <v>0.2708333333</v>
      </c>
      <c r="N46" s="4"/>
      <c r="O46" s="68">
        <f t="shared" si="71"/>
        <v>0.3333333333</v>
      </c>
      <c r="P46" s="4"/>
      <c r="Q46" s="68">
        <f t="shared" si="72"/>
        <v>0.3229166667</v>
      </c>
      <c r="R46" s="4"/>
      <c r="S46" s="66" t="str">
        <f t="shared" si="73"/>
        <v/>
      </c>
      <c r="T46" s="4"/>
      <c r="U46" s="68">
        <f t="shared" si="74"/>
        <v>0.375</v>
      </c>
      <c r="V46" s="4"/>
      <c r="W46" s="68">
        <f t="shared" si="75"/>
        <v>0.3333333333</v>
      </c>
      <c r="X46" s="4"/>
      <c r="Y46" s="68">
        <f t="shared" si="76"/>
        <v>0.4895833333</v>
      </c>
      <c r="Z46" s="4"/>
      <c r="AA46" s="68">
        <f t="shared" si="77"/>
        <v>0.3229166667</v>
      </c>
      <c r="AB46" s="4"/>
      <c r="AC46" s="66" t="str">
        <f t="shared" si="78"/>
        <v/>
      </c>
      <c r="AD46" s="4"/>
      <c r="AE46" s="68" t="str">
        <f t="shared" si="79"/>
        <v/>
      </c>
      <c r="AF46" s="4"/>
      <c r="AG46" s="68">
        <f t="shared" si="80"/>
        <v>0.3333333333</v>
      </c>
      <c r="AH46" s="4"/>
      <c r="AI46" s="66" t="str">
        <f t="shared" si="81"/>
        <v/>
      </c>
      <c r="AJ46" s="4"/>
      <c r="AK46" s="68" t="str">
        <f t="shared" si="82"/>
        <v/>
      </c>
      <c r="AL46" s="4"/>
      <c r="AM46" s="68">
        <f t="shared" si="83"/>
        <v>0.2708333333</v>
      </c>
      <c r="AN46" s="4"/>
      <c r="AO46" s="68">
        <f t="shared" si="84"/>
        <v>0.2708333333</v>
      </c>
      <c r="AP46" s="4"/>
      <c r="AQ46" s="68">
        <f t="shared" si="85"/>
        <v>0.4791666667</v>
      </c>
      <c r="AR46" s="4"/>
      <c r="AS46" s="66" t="str">
        <f t="shared" si="86"/>
        <v/>
      </c>
      <c r="AT46" s="4"/>
      <c r="AU46" s="68">
        <f t="shared" si="96"/>
        <v>0.375</v>
      </c>
      <c r="AV46" s="4"/>
      <c r="AW46" s="68">
        <f t="shared" si="88"/>
        <v>0.3333333333</v>
      </c>
      <c r="AX46" s="4"/>
      <c r="AY46" s="68">
        <f t="shared" si="89"/>
        <v>0.3333333333</v>
      </c>
      <c r="AZ46" s="4"/>
      <c r="BA46" s="66" t="str">
        <f t="shared" si="90"/>
        <v/>
      </c>
      <c r="BB46" s="4"/>
      <c r="BC46" s="66" t="str">
        <f t="shared" si="91"/>
        <v/>
      </c>
      <c r="BD46" s="4"/>
      <c r="BE46" s="68">
        <f t="shared" si="92"/>
        <v>0.3333333333</v>
      </c>
      <c r="BF46" s="4"/>
      <c r="BG46" s="68" t="str">
        <f t="shared" si="93"/>
        <v/>
      </c>
      <c r="BH46" s="4"/>
      <c r="BI46" s="68" t="str">
        <f t="shared" si="94"/>
        <v/>
      </c>
      <c r="BJ46" s="4"/>
      <c r="BK46" s="66" t="str">
        <f t="shared" si="95"/>
        <v/>
      </c>
      <c r="BL46" s="4"/>
      <c r="BM46" s="67"/>
      <c r="BN46" s="67"/>
      <c r="BO46" s="67"/>
      <c r="BP46" s="67">
        <f t="shared" si="32"/>
        <v>6.3125</v>
      </c>
    </row>
    <row r="47">
      <c r="B47" s="48" t="s">
        <v>28</v>
      </c>
      <c r="C47" s="68">
        <f t="shared" si="65"/>
        <v>0.375</v>
      </c>
      <c r="D47" s="4"/>
      <c r="E47" s="68">
        <f t="shared" si="66"/>
        <v>0.375</v>
      </c>
      <c r="F47" s="4"/>
      <c r="G47" s="68">
        <f t="shared" si="67"/>
        <v>0.3333333333</v>
      </c>
      <c r="H47" s="4"/>
      <c r="I47" s="66" t="str">
        <f t="shared" si="68"/>
        <v/>
      </c>
      <c r="J47" s="4"/>
      <c r="K47" s="68">
        <f t="shared" si="69"/>
        <v>0.2708333333</v>
      </c>
      <c r="L47" s="4"/>
      <c r="M47" s="68">
        <f t="shared" si="70"/>
        <v>0.3229166667</v>
      </c>
      <c r="N47" s="4"/>
      <c r="O47" s="69">
        <f t="shared" si="71"/>
        <v>0.3229166667</v>
      </c>
      <c r="P47" s="4"/>
      <c r="Q47" s="68" t="str">
        <f t="shared" si="72"/>
        <v/>
      </c>
      <c r="R47" s="4"/>
      <c r="S47" s="68">
        <f t="shared" si="73"/>
        <v>0.3229166667</v>
      </c>
      <c r="T47" s="4"/>
      <c r="U47" s="68">
        <f t="shared" si="74"/>
        <v>0.3229166667</v>
      </c>
      <c r="V47" s="4"/>
      <c r="W47" s="68">
        <f t="shared" si="75"/>
        <v>0.3229166667</v>
      </c>
      <c r="X47" s="4"/>
      <c r="Y47" s="68" t="str">
        <f t="shared" si="76"/>
        <v/>
      </c>
      <c r="Z47" s="4"/>
      <c r="AA47" s="68">
        <f t="shared" si="77"/>
        <v>0.2708333333</v>
      </c>
      <c r="AB47" s="4"/>
      <c r="AC47" s="68">
        <f t="shared" si="78"/>
        <v>0.3333333333</v>
      </c>
      <c r="AD47" s="4"/>
      <c r="AE47" s="68">
        <f t="shared" si="79"/>
        <v>0.3333333333</v>
      </c>
      <c r="AF47" s="4"/>
      <c r="AG47" s="68">
        <f t="shared" si="80"/>
        <v>0.3229166667</v>
      </c>
      <c r="AH47" s="4"/>
      <c r="AI47" s="66" t="str">
        <f t="shared" si="81"/>
        <v/>
      </c>
      <c r="AJ47" s="4"/>
      <c r="AK47" s="68" t="str">
        <f t="shared" si="82"/>
        <v/>
      </c>
      <c r="AL47" s="4"/>
      <c r="AM47" s="68" t="str">
        <f t="shared" si="83"/>
        <v/>
      </c>
      <c r="AN47" s="4"/>
      <c r="AO47" s="68">
        <f t="shared" si="84"/>
        <v>0.3229166667</v>
      </c>
      <c r="AP47" s="4"/>
      <c r="AQ47" s="66" t="str">
        <f t="shared" si="85"/>
        <v/>
      </c>
      <c r="AR47" s="4"/>
      <c r="AS47" s="68">
        <f t="shared" si="86"/>
        <v>0.3333333333</v>
      </c>
      <c r="AT47" s="4"/>
      <c r="AU47" s="68">
        <f t="shared" si="96"/>
        <v>0.3333333333</v>
      </c>
      <c r="AV47" s="4"/>
      <c r="AW47" s="68">
        <f t="shared" si="88"/>
        <v>0.375</v>
      </c>
      <c r="AX47" s="4"/>
      <c r="AY47" s="68">
        <f t="shared" si="89"/>
        <v>0.375</v>
      </c>
      <c r="AZ47" s="4"/>
      <c r="BA47" s="66" t="str">
        <f t="shared" si="90"/>
        <v/>
      </c>
      <c r="BB47" s="4"/>
      <c r="BC47" s="66" t="str">
        <f t="shared" si="91"/>
        <v/>
      </c>
      <c r="BD47" s="4"/>
      <c r="BE47" s="68">
        <f t="shared" si="92"/>
        <v>0.375</v>
      </c>
      <c r="BF47" s="4"/>
      <c r="BG47" s="68">
        <f t="shared" si="93"/>
        <v>0.3333333333</v>
      </c>
      <c r="BH47" s="4"/>
      <c r="BI47" s="68" t="str">
        <f t="shared" si="94"/>
        <v/>
      </c>
      <c r="BJ47" s="4"/>
      <c r="BK47" s="66" t="str">
        <f t="shared" si="95"/>
        <v/>
      </c>
      <c r="BL47" s="4"/>
      <c r="BM47" s="67"/>
      <c r="BN47" s="67"/>
      <c r="BO47" s="67"/>
      <c r="BP47" s="67">
        <f t="shared" si="32"/>
        <v>6.677083333</v>
      </c>
    </row>
  </sheetData>
  <mergeCells count="1148">
    <mergeCell ref="Q42:R42"/>
    <mergeCell ref="S42:T42"/>
    <mergeCell ref="U42:V42"/>
    <mergeCell ref="W42:X42"/>
    <mergeCell ref="Y42:Z42"/>
    <mergeCell ref="AA42:AB42"/>
    <mergeCell ref="AC42:AD42"/>
    <mergeCell ref="C42:D42"/>
    <mergeCell ref="E42:F42"/>
    <mergeCell ref="G42:H42"/>
    <mergeCell ref="I42:J42"/>
    <mergeCell ref="K42:L42"/>
    <mergeCell ref="M42:N42"/>
    <mergeCell ref="O42:P42"/>
    <mergeCell ref="AW43:AX43"/>
    <mergeCell ref="AY43:AZ43"/>
    <mergeCell ref="AI43:AJ43"/>
    <mergeCell ref="AK43:AL43"/>
    <mergeCell ref="AM43:AN43"/>
    <mergeCell ref="AO43:AP43"/>
    <mergeCell ref="AQ43:AR43"/>
    <mergeCell ref="AS43:AT43"/>
    <mergeCell ref="AU43:AV43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P41"/>
    <mergeCell ref="AQ41:AR41"/>
    <mergeCell ref="BG41:BH41"/>
    <mergeCell ref="BI41:BJ41"/>
    <mergeCell ref="BK41:BL41"/>
    <mergeCell ref="C41:D41"/>
    <mergeCell ref="E41:F41"/>
    <mergeCell ref="G41:H41"/>
    <mergeCell ref="I41:J41"/>
    <mergeCell ref="K41:L41"/>
    <mergeCell ref="M41:N41"/>
    <mergeCell ref="O41:P41"/>
    <mergeCell ref="AS41:AT41"/>
    <mergeCell ref="AU41:AV41"/>
    <mergeCell ref="AW41:AX41"/>
    <mergeCell ref="AY41:AZ41"/>
    <mergeCell ref="BA41:BB41"/>
    <mergeCell ref="BC41:BD41"/>
    <mergeCell ref="BE41:BF41"/>
    <mergeCell ref="C43:D43"/>
    <mergeCell ref="E43:F43"/>
    <mergeCell ref="G43:H43"/>
    <mergeCell ref="I43:J43"/>
    <mergeCell ref="K43:L43"/>
    <mergeCell ref="M43:N43"/>
    <mergeCell ref="O43:P43"/>
    <mergeCell ref="BA42:BB42"/>
    <mergeCell ref="BA43:BB43"/>
    <mergeCell ref="BC43:BD43"/>
    <mergeCell ref="BE43:BF43"/>
    <mergeCell ref="BG43:BH43"/>
    <mergeCell ref="BI43:BJ43"/>
    <mergeCell ref="BK43:BL43"/>
    <mergeCell ref="AW42:AX42"/>
    <mergeCell ref="AY42:AZ42"/>
    <mergeCell ref="BC42:BD42"/>
    <mergeCell ref="BE42:BF42"/>
    <mergeCell ref="BG42:BH42"/>
    <mergeCell ref="BI42:BJ42"/>
    <mergeCell ref="BK42:BL42"/>
    <mergeCell ref="AS38:AT38"/>
    <mergeCell ref="AU38:AV38"/>
    <mergeCell ref="AE38:AF38"/>
    <mergeCell ref="AG38:AH38"/>
    <mergeCell ref="AI38:AJ38"/>
    <mergeCell ref="AK38:AL38"/>
    <mergeCell ref="AM38:AN38"/>
    <mergeCell ref="AO38:AP38"/>
    <mergeCell ref="AQ38:AR38"/>
    <mergeCell ref="Q38:R38"/>
    <mergeCell ref="S38:T38"/>
    <mergeCell ref="U38:V38"/>
    <mergeCell ref="W38:X38"/>
    <mergeCell ref="Y38:Z38"/>
    <mergeCell ref="AA38:AB38"/>
    <mergeCell ref="AC38:AD38"/>
    <mergeCell ref="C38:D38"/>
    <mergeCell ref="E38:F38"/>
    <mergeCell ref="G38:H38"/>
    <mergeCell ref="I38:J38"/>
    <mergeCell ref="K38:L38"/>
    <mergeCell ref="M38:N38"/>
    <mergeCell ref="O38:P38"/>
    <mergeCell ref="AW39:AX39"/>
    <mergeCell ref="AY39:AZ39"/>
    <mergeCell ref="AI39:AJ39"/>
    <mergeCell ref="AK39:AL39"/>
    <mergeCell ref="AM39:AN39"/>
    <mergeCell ref="AO39:AP39"/>
    <mergeCell ref="AQ39:AR39"/>
    <mergeCell ref="AS39:AT39"/>
    <mergeCell ref="AU39:AV39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BG37:BH37"/>
    <mergeCell ref="BI37:BJ37"/>
    <mergeCell ref="BK37:BL37"/>
    <mergeCell ref="C37:D37"/>
    <mergeCell ref="E37:F37"/>
    <mergeCell ref="G37:H37"/>
    <mergeCell ref="I37:J37"/>
    <mergeCell ref="K37:L37"/>
    <mergeCell ref="M37:N37"/>
    <mergeCell ref="O37:P37"/>
    <mergeCell ref="AS37:AT37"/>
    <mergeCell ref="AU37:AV37"/>
    <mergeCell ref="AW37:AX37"/>
    <mergeCell ref="AY37:AZ37"/>
    <mergeCell ref="BA37:BB37"/>
    <mergeCell ref="BC37:BD37"/>
    <mergeCell ref="BE37:BF37"/>
    <mergeCell ref="C39:D39"/>
    <mergeCell ref="E39:F39"/>
    <mergeCell ref="G39:H39"/>
    <mergeCell ref="I39:J39"/>
    <mergeCell ref="K39:L39"/>
    <mergeCell ref="M39:N39"/>
    <mergeCell ref="O39:P39"/>
    <mergeCell ref="BA38:BB38"/>
    <mergeCell ref="BA39:BB39"/>
    <mergeCell ref="BC39:BD39"/>
    <mergeCell ref="BE39:BF39"/>
    <mergeCell ref="BG39:BH39"/>
    <mergeCell ref="BI39:BJ39"/>
    <mergeCell ref="BK39:BL39"/>
    <mergeCell ref="AW38:AX38"/>
    <mergeCell ref="AY38:AZ38"/>
    <mergeCell ref="BC38:BD38"/>
    <mergeCell ref="BE38:BF38"/>
    <mergeCell ref="BG38:BH38"/>
    <mergeCell ref="BI38:BJ38"/>
    <mergeCell ref="BK38:BL38"/>
    <mergeCell ref="AE39:AF39"/>
    <mergeCell ref="AG39:AH39"/>
    <mergeCell ref="Q39:R39"/>
    <mergeCell ref="S39:T39"/>
    <mergeCell ref="U39:V39"/>
    <mergeCell ref="W39:X39"/>
    <mergeCell ref="Y39:Z39"/>
    <mergeCell ref="AA39:AB39"/>
    <mergeCell ref="AC39:AD39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BG40:BH40"/>
    <mergeCell ref="BI40:BJ40"/>
    <mergeCell ref="BK40:BL40"/>
    <mergeCell ref="AS40:AT40"/>
    <mergeCell ref="AU40:AV40"/>
    <mergeCell ref="AW40:AX40"/>
    <mergeCell ref="AY40:AZ40"/>
    <mergeCell ref="BA40:BB40"/>
    <mergeCell ref="BC40:BD40"/>
    <mergeCell ref="BE40:BF40"/>
    <mergeCell ref="C40:D40"/>
    <mergeCell ref="E40:F40"/>
    <mergeCell ref="G40:H40"/>
    <mergeCell ref="I40:J40"/>
    <mergeCell ref="K40:L40"/>
    <mergeCell ref="M40:N40"/>
    <mergeCell ref="O40:P40"/>
    <mergeCell ref="AS42:AT42"/>
    <mergeCell ref="AU42:AV42"/>
    <mergeCell ref="AE42:AF42"/>
    <mergeCell ref="AG42:AH42"/>
    <mergeCell ref="AI42:AJ42"/>
    <mergeCell ref="AK42:AL42"/>
    <mergeCell ref="AM42:AN42"/>
    <mergeCell ref="AO42:AP42"/>
    <mergeCell ref="AQ42:AR42"/>
    <mergeCell ref="AE43:AF43"/>
    <mergeCell ref="AG43:AH43"/>
    <mergeCell ref="Q43:R43"/>
    <mergeCell ref="S43:T43"/>
    <mergeCell ref="U43:V43"/>
    <mergeCell ref="W43:X43"/>
    <mergeCell ref="Y43:Z43"/>
    <mergeCell ref="AA43:AB43"/>
    <mergeCell ref="AC43:AD43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N44"/>
    <mergeCell ref="AO44:AP44"/>
    <mergeCell ref="AQ44:AR44"/>
    <mergeCell ref="BG44:BH44"/>
    <mergeCell ref="BI44:BJ44"/>
    <mergeCell ref="BK44:BL44"/>
    <mergeCell ref="AS44:AT44"/>
    <mergeCell ref="AU44:AV44"/>
    <mergeCell ref="AW44:AX44"/>
    <mergeCell ref="AY44:AZ44"/>
    <mergeCell ref="BA44:BB44"/>
    <mergeCell ref="BC44:BD44"/>
    <mergeCell ref="BE44:BF44"/>
    <mergeCell ref="C44:D44"/>
    <mergeCell ref="E44:F44"/>
    <mergeCell ref="G44:H44"/>
    <mergeCell ref="I44:J44"/>
    <mergeCell ref="K44:L44"/>
    <mergeCell ref="M44:N44"/>
    <mergeCell ref="O44:P44"/>
    <mergeCell ref="AW7:AX7"/>
    <mergeCell ref="AY7:AZ7"/>
    <mergeCell ref="AI7:AJ7"/>
    <mergeCell ref="AK7:AL7"/>
    <mergeCell ref="AM7:AN7"/>
    <mergeCell ref="AO7:AP7"/>
    <mergeCell ref="AQ7:AR7"/>
    <mergeCell ref="AS7:AT7"/>
    <mergeCell ref="AU7:AV7"/>
    <mergeCell ref="Y7:Z7"/>
    <mergeCell ref="Y8:Z8"/>
    <mergeCell ref="W9:X9"/>
    <mergeCell ref="Y9:Z9"/>
    <mergeCell ref="U10:V10"/>
    <mergeCell ref="U11:V11"/>
    <mergeCell ref="Y11:Z11"/>
    <mergeCell ref="AC11:AD11"/>
    <mergeCell ref="Q7:R7"/>
    <mergeCell ref="S7:T7"/>
    <mergeCell ref="U7:V7"/>
    <mergeCell ref="W7:X7"/>
    <mergeCell ref="AA7:AB7"/>
    <mergeCell ref="AC7:AD7"/>
    <mergeCell ref="AA8:AB8"/>
    <mergeCell ref="AO9:AP9"/>
    <mergeCell ref="AQ9:AR9"/>
    <mergeCell ref="AK9:AL9"/>
    <mergeCell ref="AK10:AL10"/>
    <mergeCell ref="AK11:AL11"/>
    <mergeCell ref="AM10:AN10"/>
    <mergeCell ref="AO10:AP10"/>
    <mergeCell ref="AM11:AN11"/>
    <mergeCell ref="AO11:AP11"/>
    <mergeCell ref="AQ11:AR11"/>
    <mergeCell ref="AS11:AT11"/>
    <mergeCell ref="AW11:AX11"/>
    <mergeCell ref="AE10:AF10"/>
    <mergeCell ref="AG11:AH11"/>
    <mergeCell ref="AE7:AF7"/>
    <mergeCell ref="AG7:AH7"/>
    <mergeCell ref="AM8:AN8"/>
    <mergeCell ref="AO8:AP8"/>
    <mergeCell ref="AQ8:AR8"/>
    <mergeCell ref="AM9:AN9"/>
    <mergeCell ref="AQ10:AR10"/>
    <mergeCell ref="AQ2:AR2"/>
    <mergeCell ref="AS2:AT2"/>
    <mergeCell ref="AC2:AD2"/>
    <mergeCell ref="AE2:AF2"/>
    <mergeCell ref="AG2:AH2"/>
    <mergeCell ref="AI2:AJ2"/>
    <mergeCell ref="AK2:AL2"/>
    <mergeCell ref="AM2:AN2"/>
    <mergeCell ref="AO2:AP2"/>
    <mergeCell ref="BI2:BJ2"/>
    <mergeCell ref="BK2:BL2"/>
    <mergeCell ref="AU2:AV2"/>
    <mergeCell ref="AW2:AX2"/>
    <mergeCell ref="AY2:AZ2"/>
    <mergeCell ref="BA2:BB2"/>
    <mergeCell ref="BC2:BD2"/>
    <mergeCell ref="BE2:BF2"/>
    <mergeCell ref="BG2:BH2"/>
    <mergeCell ref="O1:P1"/>
    <mergeCell ref="Q1:R1"/>
    <mergeCell ref="S1:T1"/>
    <mergeCell ref="U1:V1"/>
    <mergeCell ref="W1:X1"/>
    <mergeCell ref="Y1:Z1"/>
    <mergeCell ref="AA1:AB1"/>
    <mergeCell ref="BE1:BF1"/>
    <mergeCell ref="BG1:BH1"/>
    <mergeCell ref="BI1:BJ1"/>
    <mergeCell ref="BK1:BL1"/>
    <mergeCell ref="C2:D2"/>
    <mergeCell ref="E2:F2"/>
    <mergeCell ref="G2:H2"/>
    <mergeCell ref="I2:J2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G3:J3"/>
    <mergeCell ref="M3:N3"/>
    <mergeCell ref="AE3:AF3"/>
    <mergeCell ref="AS3:AT3"/>
    <mergeCell ref="AU3:AV3"/>
    <mergeCell ref="B1:B3"/>
    <mergeCell ref="C1:D1"/>
    <mergeCell ref="E1:F1"/>
    <mergeCell ref="G1:H1"/>
    <mergeCell ref="I1:J1"/>
    <mergeCell ref="K1:L1"/>
    <mergeCell ref="M1:N1"/>
    <mergeCell ref="Y2:Z2"/>
    <mergeCell ref="AA2:AB2"/>
    <mergeCell ref="K2:L2"/>
    <mergeCell ref="M2:N2"/>
    <mergeCell ref="O2:P2"/>
    <mergeCell ref="Q2:R2"/>
    <mergeCell ref="S2:T2"/>
    <mergeCell ref="U2:V2"/>
    <mergeCell ref="W2:X2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BG4:BH4"/>
    <mergeCell ref="BI4:BJ4"/>
    <mergeCell ref="BK4:BL4"/>
    <mergeCell ref="BI5:BJ5"/>
    <mergeCell ref="AS4:AT4"/>
    <mergeCell ref="AU4:AV4"/>
    <mergeCell ref="AW4:AX4"/>
    <mergeCell ref="AY4:AZ4"/>
    <mergeCell ref="BA4:BB4"/>
    <mergeCell ref="BC4:BD4"/>
    <mergeCell ref="BE4:BF4"/>
    <mergeCell ref="S5:T5"/>
    <mergeCell ref="Y5:Z5"/>
    <mergeCell ref="AG5:AH5"/>
    <mergeCell ref="AM5:AN5"/>
    <mergeCell ref="AU5:AV5"/>
    <mergeCell ref="BA5:BB5"/>
    <mergeCell ref="BI7:BJ7"/>
    <mergeCell ref="BK7:BL7"/>
    <mergeCell ref="BK8:BL8"/>
    <mergeCell ref="BK9:BL9"/>
    <mergeCell ref="BK10:BL10"/>
    <mergeCell ref="BK11:BL11"/>
    <mergeCell ref="BA6:BB6"/>
    <mergeCell ref="BC6:BD6"/>
    <mergeCell ref="BE6:BF6"/>
    <mergeCell ref="BI6:BJ6"/>
    <mergeCell ref="BK6:BL6"/>
    <mergeCell ref="BA7:BB7"/>
    <mergeCell ref="BC7:BD7"/>
    <mergeCell ref="BC11:BD11"/>
    <mergeCell ref="BE11:BF11"/>
    <mergeCell ref="BA8:BB8"/>
    <mergeCell ref="BC8:BD8"/>
    <mergeCell ref="BA9:BB9"/>
    <mergeCell ref="BC9:BD9"/>
    <mergeCell ref="BA10:BB10"/>
    <mergeCell ref="BG10:BH10"/>
    <mergeCell ref="BA11:BB11"/>
    <mergeCell ref="BG11:BH11"/>
    <mergeCell ref="K4:L4"/>
    <mergeCell ref="K5:L5"/>
    <mergeCell ref="C4:D4"/>
    <mergeCell ref="E4:F4"/>
    <mergeCell ref="G4:H4"/>
    <mergeCell ref="I4:J4"/>
    <mergeCell ref="M4:N4"/>
    <mergeCell ref="O4:P4"/>
    <mergeCell ref="E5:F5"/>
    <mergeCell ref="AK6:AL6"/>
    <mergeCell ref="AM6:AN6"/>
    <mergeCell ref="AO6:AP6"/>
    <mergeCell ref="AQ6:AR6"/>
    <mergeCell ref="AU6:AV6"/>
    <mergeCell ref="AW6:AX6"/>
    <mergeCell ref="AY6:AZ6"/>
    <mergeCell ref="E6:F6"/>
    <mergeCell ref="G6:H6"/>
    <mergeCell ref="I6:J6"/>
    <mergeCell ref="K6:L6"/>
    <mergeCell ref="M6:N6"/>
    <mergeCell ref="O6:P6"/>
    <mergeCell ref="S6:T6"/>
    <mergeCell ref="C7:D7"/>
    <mergeCell ref="E7:F7"/>
    <mergeCell ref="G7:H7"/>
    <mergeCell ref="I7:J7"/>
    <mergeCell ref="K7:L7"/>
    <mergeCell ref="M7:N7"/>
    <mergeCell ref="O7:P7"/>
    <mergeCell ref="U6:V6"/>
    <mergeCell ref="W6:X6"/>
    <mergeCell ref="Y6:Z6"/>
    <mergeCell ref="AA6:AB6"/>
    <mergeCell ref="AC6:AD6"/>
    <mergeCell ref="AG6:AH6"/>
    <mergeCell ref="AI6:AJ6"/>
    <mergeCell ref="BE7:BF7"/>
    <mergeCell ref="BG7:BH7"/>
    <mergeCell ref="AE16:AF16"/>
    <mergeCell ref="AG16:AH16"/>
    <mergeCell ref="Q16:R16"/>
    <mergeCell ref="S16:T16"/>
    <mergeCell ref="U16:V16"/>
    <mergeCell ref="W16:X16"/>
    <mergeCell ref="Y16:Z16"/>
    <mergeCell ref="AA16:AB16"/>
    <mergeCell ref="AC16:AD16"/>
    <mergeCell ref="I12:J12"/>
    <mergeCell ref="M12:N12"/>
    <mergeCell ref="Q12:R12"/>
    <mergeCell ref="S12:T12"/>
    <mergeCell ref="U12:V12"/>
    <mergeCell ref="W12:X12"/>
    <mergeCell ref="AA12:AB12"/>
    <mergeCell ref="AE12:AF12"/>
    <mergeCell ref="AG12:AH12"/>
    <mergeCell ref="AI12:AJ12"/>
    <mergeCell ref="AK12:AL12"/>
    <mergeCell ref="AM12:AN12"/>
    <mergeCell ref="AO12:AP12"/>
    <mergeCell ref="AQ12:AR12"/>
    <mergeCell ref="BG12:BH12"/>
    <mergeCell ref="BI12:BJ12"/>
    <mergeCell ref="BK12:BL12"/>
    <mergeCell ref="AS12:AT12"/>
    <mergeCell ref="AU12:AV12"/>
    <mergeCell ref="AW12:AX12"/>
    <mergeCell ref="AY12:AZ12"/>
    <mergeCell ref="BA12:BB12"/>
    <mergeCell ref="BC12:BD12"/>
    <mergeCell ref="BE12:BF12"/>
    <mergeCell ref="AY13:AZ13"/>
    <mergeCell ref="BA13:BB13"/>
    <mergeCell ref="BG13:BH13"/>
    <mergeCell ref="BK13:BL13"/>
    <mergeCell ref="M13:N13"/>
    <mergeCell ref="Q13:R13"/>
    <mergeCell ref="W13:X13"/>
    <mergeCell ref="AE13:AF13"/>
    <mergeCell ref="AI13:AJ13"/>
    <mergeCell ref="AK13:AL13"/>
    <mergeCell ref="AS13:AT13"/>
    <mergeCell ref="BA14:BB14"/>
    <mergeCell ref="BC14:BD14"/>
    <mergeCell ref="BK14:BL14"/>
    <mergeCell ref="M14:N14"/>
    <mergeCell ref="Q14:R14"/>
    <mergeCell ref="AA14:AB14"/>
    <mergeCell ref="AO14:AP14"/>
    <mergeCell ref="AQ14:AR14"/>
    <mergeCell ref="AU14:AV14"/>
    <mergeCell ref="AY14:AZ14"/>
    <mergeCell ref="AW16:AX16"/>
    <mergeCell ref="AY16:AZ16"/>
    <mergeCell ref="AI16:AJ16"/>
    <mergeCell ref="AK16:AL16"/>
    <mergeCell ref="AM16:AN16"/>
    <mergeCell ref="AO16:AP16"/>
    <mergeCell ref="AQ16:AR16"/>
    <mergeCell ref="AS16:AT16"/>
    <mergeCell ref="AU16:AV16"/>
    <mergeCell ref="U17:V17"/>
    <mergeCell ref="W17:X17"/>
    <mergeCell ref="AC17:AD17"/>
    <mergeCell ref="AE17:AF17"/>
    <mergeCell ref="AG17:AH17"/>
    <mergeCell ref="AK17:AL17"/>
    <mergeCell ref="AM17:AN17"/>
    <mergeCell ref="BI18:BJ18"/>
    <mergeCell ref="BK18:BL18"/>
    <mergeCell ref="AO17:AP17"/>
    <mergeCell ref="AS17:AT17"/>
    <mergeCell ref="AQ18:AR18"/>
    <mergeCell ref="AU18:AV18"/>
    <mergeCell ref="AW18:AX18"/>
    <mergeCell ref="BA18:BB18"/>
    <mergeCell ref="BE18:BF18"/>
    <mergeCell ref="BE16:BF16"/>
    <mergeCell ref="BE17:BF17"/>
    <mergeCell ref="BI17:BJ17"/>
    <mergeCell ref="BK17:BL17"/>
    <mergeCell ref="BA16:BB16"/>
    <mergeCell ref="BC16:BD16"/>
    <mergeCell ref="BG16:BH16"/>
    <mergeCell ref="BI16:BJ16"/>
    <mergeCell ref="BK16:BL16"/>
    <mergeCell ref="AU17:AV17"/>
    <mergeCell ref="BA17:BB17"/>
    <mergeCell ref="M8:N8"/>
    <mergeCell ref="E9:F9"/>
    <mergeCell ref="G9:H9"/>
    <mergeCell ref="K10:L10"/>
    <mergeCell ref="K11:L11"/>
    <mergeCell ref="O11:P11"/>
    <mergeCell ref="C12:D12"/>
    <mergeCell ref="E12:F12"/>
    <mergeCell ref="G12:H12"/>
    <mergeCell ref="C13:D13"/>
    <mergeCell ref="E13:F13"/>
    <mergeCell ref="G13:H13"/>
    <mergeCell ref="I13:J13"/>
    <mergeCell ref="K13:L13"/>
    <mergeCell ref="BE15:BF15"/>
    <mergeCell ref="BG15:BH15"/>
    <mergeCell ref="BI15:BJ15"/>
    <mergeCell ref="BK15:BL15"/>
    <mergeCell ref="Y15:Z15"/>
    <mergeCell ref="AC15:AD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C17:D17"/>
    <mergeCell ref="E17:F17"/>
    <mergeCell ref="G17:H17"/>
    <mergeCell ref="I17:J17"/>
    <mergeCell ref="O17:P17"/>
    <mergeCell ref="Q17:R17"/>
    <mergeCell ref="S17:T17"/>
    <mergeCell ref="AW17:AX17"/>
    <mergeCell ref="AY17:AZ17"/>
    <mergeCell ref="C15:D15"/>
    <mergeCell ref="E15:F15"/>
    <mergeCell ref="G15:H15"/>
    <mergeCell ref="K15:L15"/>
    <mergeCell ref="O15:P15"/>
    <mergeCell ref="S15:T15"/>
    <mergeCell ref="U15:V15"/>
    <mergeCell ref="C16:D16"/>
    <mergeCell ref="E16:F16"/>
    <mergeCell ref="G16:H16"/>
    <mergeCell ref="I16:J16"/>
    <mergeCell ref="K16:L16"/>
    <mergeCell ref="M16:N16"/>
    <mergeCell ref="O16:P16"/>
    <mergeCell ref="G18:H18"/>
    <mergeCell ref="I18:J18"/>
    <mergeCell ref="O18:P18"/>
    <mergeCell ref="Q18:R18"/>
    <mergeCell ref="AA18:AB18"/>
    <mergeCell ref="AC18:AD18"/>
    <mergeCell ref="AG18:AH18"/>
    <mergeCell ref="Y19:Z19"/>
    <mergeCell ref="AA19:AB19"/>
    <mergeCell ref="AC19:AD19"/>
    <mergeCell ref="AE19:AF19"/>
    <mergeCell ref="AG19:AH19"/>
    <mergeCell ref="AI19:AJ19"/>
    <mergeCell ref="AK19:AL19"/>
    <mergeCell ref="BA19:BB19"/>
    <mergeCell ref="BC19:BD19"/>
    <mergeCell ref="BE19:BF19"/>
    <mergeCell ref="BG19:BH19"/>
    <mergeCell ref="BK19:BL19"/>
    <mergeCell ref="AM19:AN19"/>
    <mergeCell ref="AO19:AP19"/>
    <mergeCell ref="AQ19:AR19"/>
    <mergeCell ref="AS19:AT19"/>
    <mergeCell ref="AU19:AV19"/>
    <mergeCell ref="AW19:AX19"/>
    <mergeCell ref="AY19:AZ19"/>
    <mergeCell ref="C19:D19"/>
    <mergeCell ref="E19:F19"/>
    <mergeCell ref="K19:L19"/>
    <mergeCell ref="M19:N19"/>
    <mergeCell ref="O19:P19"/>
    <mergeCell ref="S19:T19"/>
    <mergeCell ref="W19:X19"/>
    <mergeCell ref="AA21:AB21"/>
    <mergeCell ref="AC21:AD21"/>
    <mergeCell ref="AE21:AF21"/>
    <mergeCell ref="AG21:AH21"/>
    <mergeCell ref="AI21:AJ21"/>
    <mergeCell ref="AK21:AL21"/>
    <mergeCell ref="AM21:AN21"/>
    <mergeCell ref="E21:F21"/>
    <mergeCell ref="G21:H21"/>
    <mergeCell ref="I21:J21"/>
    <mergeCell ref="M21:N21"/>
    <mergeCell ref="O21:P21"/>
    <mergeCell ref="Q21:R21"/>
    <mergeCell ref="W21:X21"/>
    <mergeCell ref="AQ22:AR22"/>
    <mergeCell ref="BA22:BB22"/>
    <mergeCell ref="BC22:BD22"/>
    <mergeCell ref="BK22:BL22"/>
    <mergeCell ref="C22:D22"/>
    <mergeCell ref="E22:F22"/>
    <mergeCell ref="O22:P22"/>
    <mergeCell ref="Y22:Z22"/>
    <mergeCell ref="AI22:AJ22"/>
    <mergeCell ref="AM22:AN22"/>
    <mergeCell ref="AO22:AP22"/>
    <mergeCell ref="AU23:AV23"/>
    <mergeCell ref="AW23:AX23"/>
    <mergeCell ref="AG23:AH23"/>
    <mergeCell ref="AI23:AJ23"/>
    <mergeCell ref="AK23:AL23"/>
    <mergeCell ref="AM23:AN23"/>
    <mergeCell ref="AO23:AP23"/>
    <mergeCell ref="AQ23:AR23"/>
    <mergeCell ref="AS23:AT23"/>
    <mergeCell ref="S20:T20"/>
    <mergeCell ref="U20:V20"/>
    <mergeCell ref="W20:X20"/>
    <mergeCell ref="AA20:AB20"/>
    <mergeCell ref="AC20:AD20"/>
    <mergeCell ref="AE20:AF20"/>
    <mergeCell ref="AG20:AH20"/>
    <mergeCell ref="AW20:AX20"/>
    <mergeCell ref="AY20:AZ20"/>
    <mergeCell ref="BA20:BB20"/>
    <mergeCell ref="BC20:BD20"/>
    <mergeCell ref="BE20:BF20"/>
    <mergeCell ref="BG20:BH20"/>
    <mergeCell ref="BI20:BJ20"/>
    <mergeCell ref="BK20:BL20"/>
    <mergeCell ref="AI20:AJ20"/>
    <mergeCell ref="AK20:AL20"/>
    <mergeCell ref="AM20:AN20"/>
    <mergeCell ref="AO20:AP20"/>
    <mergeCell ref="AQ20:AR20"/>
    <mergeCell ref="AS20:AT20"/>
    <mergeCell ref="AU20:AV20"/>
    <mergeCell ref="C20:D20"/>
    <mergeCell ref="E20:F20"/>
    <mergeCell ref="G20:H20"/>
    <mergeCell ref="I20:J20"/>
    <mergeCell ref="M20:N20"/>
    <mergeCell ref="O20:P20"/>
    <mergeCell ref="Q20:R20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BA21:BB21"/>
    <mergeCell ref="AY23:AZ23"/>
    <mergeCell ref="BA23:BB23"/>
    <mergeCell ref="BC23:BD23"/>
    <mergeCell ref="BE23:BF23"/>
    <mergeCell ref="BG23:BH23"/>
    <mergeCell ref="BI23:BJ23"/>
    <mergeCell ref="BK23:BL23"/>
    <mergeCell ref="BG27:BH27"/>
    <mergeCell ref="BI27:BJ27"/>
    <mergeCell ref="AS27:AT27"/>
    <mergeCell ref="AU27:AV27"/>
    <mergeCell ref="AW27:AX27"/>
    <mergeCell ref="AY27:AZ27"/>
    <mergeCell ref="BA27:BB27"/>
    <mergeCell ref="BC27:BD27"/>
    <mergeCell ref="BE27:BF27"/>
    <mergeCell ref="C23:D23"/>
    <mergeCell ref="E23:F23"/>
    <mergeCell ref="G23:H23"/>
    <mergeCell ref="M23:N23"/>
    <mergeCell ref="S23:T23"/>
    <mergeCell ref="U23:V23"/>
    <mergeCell ref="AA23:AB23"/>
    <mergeCell ref="AS24:AT24"/>
    <mergeCell ref="BA24:BB24"/>
    <mergeCell ref="BC24:BD24"/>
    <mergeCell ref="BG24:BH24"/>
    <mergeCell ref="BI24:BJ24"/>
    <mergeCell ref="BK24:BL24"/>
    <mergeCell ref="AK25:AL25"/>
    <mergeCell ref="AM25:AN25"/>
    <mergeCell ref="AQ25:AR25"/>
    <mergeCell ref="BA25:BB25"/>
    <mergeCell ref="BC25:BD25"/>
    <mergeCell ref="BI25:BJ25"/>
    <mergeCell ref="BK25:BL25"/>
    <mergeCell ref="G24:H24"/>
    <mergeCell ref="K24:L24"/>
    <mergeCell ref="AC24:AD24"/>
    <mergeCell ref="AE24:AF24"/>
    <mergeCell ref="AK24:AL24"/>
    <mergeCell ref="I25:J25"/>
    <mergeCell ref="Y25:Z25"/>
    <mergeCell ref="M27:N27"/>
    <mergeCell ref="O27:P27"/>
    <mergeCell ref="BK27:BL27"/>
    <mergeCell ref="S24:T24"/>
    <mergeCell ref="Q25:R25"/>
    <mergeCell ref="C27:D27"/>
    <mergeCell ref="E27:F27"/>
    <mergeCell ref="G27:H27"/>
    <mergeCell ref="I27:J27"/>
    <mergeCell ref="K27:L27"/>
    <mergeCell ref="AI24:AJ24"/>
    <mergeCell ref="AI25:AJ25"/>
    <mergeCell ref="AI27:AJ27"/>
    <mergeCell ref="AK27:AL27"/>
    <mergeCell ref="AM27:AN27"/>
    <mergeCell ref="AO27:AP27"/>
    <mergeCell ref="AQ27:AR27"/>
    <mergeCell ref="AE27:AF27"/>
    <mergeCell ref="AG27:AH27"/>
    <mergeCell ref="Q27:R27"/>
    <mergeCell ref="S27:T27"/>
    <mergeCell ref="U27:V27"/>
    <mergeCell ref="W27:X27"/>
    <mergeCell ref="Y27:Z27"/>
    <mergeCell ref="AA27:AB27"/>
    <mergeCell ref="AC27:AD27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BG28:BH28"/>
    <mergeCell ref="BI28:BJ28"/>
    <mergeCell ref="BK28:BL28"/>
    <mergeCell ref="AS28:AT28"/>
    <mergeCell ref="AU28:AV28"/>
    <mergeCell ref="AW28:AX28"/>
    <mergeCell ref="AY28:AZ28"/>
    <mergeCell ref="BA28:BB28"/>
    <mergeCell ref="BC28:BD28"/>
    <mergeCell ref="BE28:BF28"/>
    <mergeCell ref="C28:D28"/>
    <mergeCell ref="E28:F28"/>
    <mergeCell ref="G28:H28"/>
    <mergeCell ref="I28:J28"/>
    <mergeCell ref="K28:L28"/>
    <mergeCell ref="M28:N28"/>
    <mergeCell ref="O28:P28"/>
    <mergeCell ref="AS30:AT30"/>
    <mergeCell ref="AU30:AV30"/>
    <mergeCell ref="AE30:AF30"/>
    <mergeCell ref="AG30:AH30"/>
    <mergeCell ref="AI30:AJ30"/>
    <mergeCell ref="AK30:AL30"/>
    <mergeCell ref="AM30:AN30"/>
    <mergeCell ref="AO30:AP30"/>
    <mergeCell ref="AQ30:AR30"/>
    <mergeCell ref="Q34:R34"/>
    <mergeCell ref="S34:T34"/>
    <mergeCell ref="U34:V34"/>
    <mergeCell ref="W34:X34"/>
    <mergeCell ref="Y34:Z34"/>
    <mergeCell ref="AA34:AB34"/>
    <mergeCell ref="AC34:AD34"/>
    <mergeCell ref="C34:D34"/>
    <mergeCell ref="E34:F34"/>
    <mergeCell ref="G34:H34"/>
    <mergeCell ref="I34:J34"/>
    <mergeCell ref="K34:L34"/>
    <mergeCell ref="M34:N34"/>
    <mergeCell ref="O34:P34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BG33:BH33"/>
    <mergeCell ref="BI33:BJ33"/>
    <mergeCell ref="BK33:BL33"/>
    <mergeCell ref="C33:D33"/>
    <mergeCell ref="E33:F33"/>
    <mergeCell ref="G33:H33"/>
    <mergeCell ref="I33:J33"/>
    <mergeCell ref="K33:L33"/>
    <mergeCell ref="M33:N33"/>
    <mergeCell ref="O33:P33"/>
    <mergeCell ref="AS33:AT33"/>
    <mergeCell ref="AU33:AV33"/>
    <mergeCell ref="AW33:AX33"/>
    <mergeCell ref="AY33:AZ33"/>
    <mergeCell ref="BA33:BB33"/>
    <mergeCell ref="BC33:BD33"/>
    <mergeCell ref="BE33:BF33"/>
    <mergeCell ref="C35:D35"/>
    <mergeCell ref="E35:F35"/>
    <mergeCell ref="G35:H35"/>
    <mergeCell ref="I35:J35"/>
    <mergeCell ref="K35:L35"/>
    <mergeCell ref="M35:N35"/>
    <mergeCell ref="O35:P35"/>
    <mergeCell ref="BA34:BB34"/>
    <mergeCell ref="BA35:BB35"/>
    <mergeCell ref="BC35:BD35"/>
    <mergeCell ref="BE35:BF35"/>
    <mergeCell ref="BG35:BH35"/>
    <mergeCell ref="BI35:BJ35"/>
    <mergeCell ref="BK35:BL35"/>
    <mergeCell ref="AW34:AX34"/>
    <mergeCell ref="AY34:AZ34"/>
    <mergeCell ref="BC34:BD34"/>
    <mergeCell ref="BE34:BF34"/>
    <mergeCell ref="BG34:BH34"/>
    <mergeCell ref="BI34:BJ34"/>
    <mergeCell ref="BK34:BL34"/>
    <mergeCell ref="Q30:R30"/>
    <mergeCell ref="S30:T30"/>
    <mergeCell ref="U30:V30"/>
    <mergeCell ref="W30:X30"/>
    <mergeCell ref="Y30:Z30"/>
    <mergeCell ref="AA30:AB30"/>
    <mergeCell ref="AC30:AD30"/>
    <mergeCell ref="C30:D30"/>
    <mergeCell ref="E30:F30"/>
    <mergeCell ref="G30:H30"/>
    <mergeCell ref="I30:J30"/>
    <mergeCell ref="K30:L30"/>
    <mergeCell ref="M30:N30"/>
    <mergeCell ref="O30:P30"/>
    <mergeCell ref="AW31:AX31"/>
    <mergeCell ref="AY31:AZ31"/>
    <mergeCell ref="AI31:AJ31"/>
    <mergeCell ref="AK31:AL31"/>
    <mergeCell ref="AM31:AN31"/>
    <mergeCell ref="AO31:AP31"/>
    <mergeCell ref="AQ31:AR31"/>
    <mergeCell ref="AS31:AT31"/>
    <mergeCell ref="AU31:AV31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BG29:BH29"/>
    <mergeCell ref="BI29:BJ29"/>
    <mergeCell ref="BK29:BL29"/>
    <mergeCell ref="C29:D29"/>
    <mergeCell ref="E29:F29"/>
    <mergeCell ref="G29:H29"/>
    <mergeCell ref="I29:J29"/>
    <mergeCell ref="K29:L29"/>
    <mergeCell ref="M29:N29"/>
    <mergeCell ref="O29:P29"/>
    <mergeCell ref="AS29:AT29"/>
    <mergeCell ref="AU29:AV29"/>
    <mergeCell ref="AW29:AX29"/>
    <mergeCell ref="AY29:AZ29"/>
    <mergeCell ref="BA29:BB29"/>
    <mergeCell ref="BC29:BD29"/>
    <mergeCell ref="BE29:BF29"/>
    <mergeCell ref="C31:D31"/>
    <mergeCell ref="E31:F31"/>
    <mergeCell ref="G31:H31"/>
    <mergeCell ref="I31:J31"/>
    <mergeCell ref="K31:L31"/>
    <mergeCell ref="M31:N31"/>
    <mergeCell ref="O31:P31"/>
    <mergeCell ref="BA30:BB30"/>
    <mergeCell ref="BA31:BB31"/>
    <mergeCell ref="BC31:BD31"/>
    <mergeCell ref="BE31:BF31"/>
    <mergeCell ref="BG31:BH31"/>
    <mergeCell ref="BI31:BJ31"/>
    <mergeCell ref="BK31:BL31"/>
    <mergeCell ref="AW30:AX30"/>
    <mergeCell ref="AY30:AZ30"/>
    <mergeCell ref="BC30:BD30"/>
    <mergeCell ref="BE30:BF30"/>
    <mergeCell ref="BG30:BH30"/>
    <mergeCell ref="BI30:BJ30"/>
    <mergeCell ref="BK30:BL30"/>
    <mergeCell ref="AE31:AF31"/>
    <mergeCell ref="AG31:AH31"/>
    <mergeCell ref="Q31:R31"/>
    <mergeCell ref="S31:T31"/>
    <mergeCell ref="U31:V31"/>
    <mergeCell ref="W31:X31"/>
    <mergeCell ref="Y31:Z31"/>
    <mergeCell ref="AA31:AB31"/>
    <mergeCell ref="AC31:AD31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BG32:BH32"/>
    <mergeCell ref="BI32:BJ32"/>
    <mergeCell ref="BK32:BL32"/>
    <mergeCell ref="AS32:AT32"/>
    <mergeCell ref="AU32:AV32"/>
    <mergeCell ref="AW32:AX32"/>
    <mergeCell ref="AY32:AZ32"/>
    <mergeCell ref="BA32:BB32"/>
    <mergeCell ref="BC32:BD32"/>
    <mergeCell ref="BE32:BF32"/>
    <mergeCell ref="C32:D32"/>
    <mergeCell ref="E32:F32"/>
    <mergeCell ref="G32:H32"/>
    <mergeCell ref="I32:J32"/>
    <mergeCell ref="K32:L32"/>
    <mergeCell ref="M32:N32"/>
    <mergeCell ref="O32:P32"/>
    <mergeCell ref="AS34:AT34"/>
    <mergeCell ref="AU34:AV34"/>
    <mergeCell ref="AE34:AF34"/>
    <mergeCell ref="AG34:AH34"/>
    <mergeCell ref="AI34:AJ34"/>
    <mergeCell ref="AK34:AL34"/>
    <mergeCell ref="AM34:AN34"/>
    <mergeCell ref="AO34:AP34"/>
    <mergeCell ref="AQ34:AR34"/>
    <mergeCell ref="AW35:AX35"/>
    <mergeCell ref="AY35:AZ35"/>
    <mergeCell ref="AI35:AJ35"/>
    <mergeCell ref="AK35:AL35"/>
    <mergeCell ref="AM35:AN35"/>
    <mergeCell ref="AO35:AP35"/>
    <mergeCell ref="AQ35:AR35"/>
    <mergeCell ref="AS35:AT35"/>
    <mergeCell ref="AU35:AV35"/>
    <mergeCell ref="AE35:AF35"/>
    <mergeCell ref="AG35:AH35"/>
    <mergeCell ref="Q35:R35"/>
    <mergeCell ref="S35:T35"/>
    <mergeCell ref="U35:V35"/>
    <mergeCell ref="W35:X35"/>
    <mergeCell ref="Y35:Z35"/>
    <mergeCell ref="AA35:AB35"/>
    <mergeCell ref="AC35:AD35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BG36:BH36"/>
    <mergeCell ref="BI36:BJ36"/>
    <mergeCell ref="BK36:BL36"/>
    <mergeCell ref="AS36:AT36"/>
    <mergeCell ref="AU36:AV36"/>
    <mergeCell ref="AW36:AX36"/>
    <mergeCell ref="AY36:AZ36"/>
    <mergeCell ref="BA36:BB36"/>
    <mergeCell ref="BC36:BD36"/>
    <mergeCell ref="BE36:BF36"/>
    <mergeCell ref="C36:D36"/>
    <mergeCell ref="E36:F36"/>
    <mergeCell ref="G36:H36"/>
    <mergeCell ref="I36:J36"/>
    <mergeCell ref="K36:L36"/>
    <mergeCell ref="M36:N36"/>
    <mergeCell ref="O36:P36"/>
    <mergeCell ref="AS46:AT46"/>
    <mergeCell ref="AU46:AV46"/>
    <mergeCell ref="AE46:AF46"/>
    <mergeCell ref="AG46:AH46"/>
    <mergeCell ref="AI46:AJ46"/>
    <mergeCell ref="AK46:AL46"/>
    <mergeCell ref="AM46:AN46"/>
    <mergeCell ref="AO46:AP46"/>
    <mergeCell ref="AQ46:AR46"/>
    <mergeCell ref="Q46:R46"/>
    <mergeCell ref="S46:T46"/>
    <mergeCell ref="U46:V46"/>
    <mergeCell ref="W46:X46"/>
    <mergeCell ref="Y46:Z46"/>
    <mergeCell ref="AA46:AB46"/>
    <mergeCell ref="AC46:AD46"/>
    <mergeCell ref="C46:D46"/>
    <mergeCell ref="E46:F46"/>
    <mergeCell ref="G46:H46"/>
    <mergeCell ref="I46:J46"/>
    <mergeCell ref="K46:L46"/>
    <mergeCell ref="M46:N46"/>
    <mergeCell ref="O46:P46"/>
    <mergeCell ref="AE47:AF47"/>
    <mergeCell ref="AG47:AH47"/>
    <mergeCell ref="Q47:R47"/>
    <mergeCell ref="S47:T47"/>
    <mergeCell ref="U47:V47"/>
    <mergeCell ref="W47:X47"/>
    <mergeCell ref="Y47:Z47"/>
    <mergeCell ref="AA47:AB47"/>
    <mergeCell ref="AC47:AD47"/>
    <mergeCell ref="AW47:AX47"/>
    <mergeCell ref="AY47:AZ47"/>
    <mergeCell ref="AI47:AJ47"/>
    <mergeCell ref="AK47:AL47"/>
    <mergeCell ref="AM47:AN47"/>
    <mergeCell ref="AO47:AP47"/>
    <mergeCell ref="AQ47:AR47"/>
    <mergeCell ref="AS47:AT47"/>
    <mergeCell ref="AU47:AV47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N45"/>
    <mergeCell ref="AO45:AP45"/>
    <mergeCell ref="AQ45:AR45"/>
    <mergeCell ref="BG45:BH45"/>
    <mergeCell ref="BI45:BJ45"/>
    <mergeCell ref="BK45:BL45"/>
    <mergeCell ref="C45:D45"/>
    <mergeCell ref="E45:F45"/>
    <mergeCell ref="G45:H45"/>
    <mergeCell ref="I45:J45"/>
    <mergeCell ref="K45:L45"/>
    <mergeCell ref="M45:N45"/>
    <mergeCell ref="O45:P45"/>
    <mergeCell ref="AS45:AT45"/>
    <mergeCell ref="AU45:AV45"/>
    <mergeCell ref="AW45:AX45"/>
    <mergeCell ref="AY45:AZ45"/>
    <mergeCell ref="BA45:BB45"/>
    <mergeCell ref="BC45:BD45"/>
    <mergeCell ref="BE45:BF45"/>
    <mergeCell ref="C47:D47"/>
    <mergeCell ref="E47:F47"/>
    <mergeCell ref="G47:H47"/>
    <mergeCell ref="I47:J47"/>
    <mergeCell ref="K47:L47"/>
    <mergeCell ref="M47:N47"/>
    <mergeCell ref="O47:P47"/>
    <mergeCell ref="BA46:BB46"/>
    <mergeCell ref="BA47:BB47"/>
    <mergeCell ref="BC47:BD47"/>
    <mergeCell ref="BE47:BF47"/>
    <mergeCell ref="BG47:BH47"/>
    <mergeCell ref="BI47:BJ47"/>
    <mergeCell ref="BK47:BL47"/>
    <mergeCell ref="AW46:AX46"/>
    <mergeCell ref="AY46:AZ46"/>
    <mergeCell ref="BC46:BD46"/>
    <mergeCell ref="BE46:BF46"/>
    <mergeCell ref="BG46:BH46"/>
    <mergeCell ref="BI46:BJ46"/>
    <mergeCell ref="BK46:BL46"/>
  </mergeCells>
  <drawing r:id="rId1"/>
</worksheet>
</file>